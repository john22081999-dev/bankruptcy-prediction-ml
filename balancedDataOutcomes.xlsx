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Pivot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264653"/>
      </patternFill>
    </fill>
    <fill>
      <patternFill patternType="solid">
        <fgColor rgb="002a9d8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2" fontId="0" fillId="0" borderId="0" pivotButton="0" quotePrefix="0" xfId="0"/>
    <xf numFmtId="0" fontId="2" fillId="0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TEST F1 score by classifier and balancing regime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'PivotSummary'!B50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'PivotSummary'!$A$51:$A$58</f>
            </numRef>
          </cat>
          <val>
            <numRef>
              <f>'PivotSummary'!$B$51:$B$58</f>
            </numRef>
          </val>
        </ser>
        <ser>
          <idx val="1"/>
          <order val="1"/>
          <tx>
            <strRef>
              <f>'PivotSummary'!C50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'PivotSummary'!$A$51:$A$58</f>
            </numRef>
          </cat>
          <val>
            <numRef>
              <f>'PivotSummary'!$C$51:$C$58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Classifier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F1 score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8</row>
      <rowOff>0</rowOff>
    </from>
    <ext cx="864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Fold</t>
        </is>
      </c>
      <c r="B1" s="1" t="inlineStr">
        <is>
          <t>Classifier</t>
        </is>
      </c>
      <c r="C1" s="1" t="inlineStr">
        <is>
          <t>Set</t>
        </is>
      </c>
      <c r="D1" s="1" t="inlineStr">
        <is>
          <t>Balance</t>
        </is>
      </c>
      <c r="E1" s="1" t="inlineStr">
        <is>
          <t>N_train_samples</t>
        </is>
      </c>
      <c r="F1" s="1" t="inlineStr">
        <is>
          <t>N_train_bankrupt</t>
        </is>
      </c>
      <c r="G1" s="1" t="inlineStr">
        <is>
          <t>TP</t>
        </is>
      </c>
      <c r="H1" s="1" t="inlineStr">
        <is>
          <t>TN</t>
        </is>
      </c>
      <c r="I1" s="1" t="inlineStr">
        <is>
          <t>FP</t>
        </is>
      </c>
      <c r="J1" s="1" t="inlineStr">
        <is>
          <t>FN</t>
        </is>
      </c>
      <c r="K1" s="1" t="inlineStr">
        <is>
          <t>Accuracy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  <c r="O1" s="1" t="inlineStr">
        <is>
          <t>ROC_AUC</t>
        </is>
      </c>
      <c r="P1" s="1" t="inlineStr">
        <is>
          <t>Accuracy_formula</t>
        </is>
      </c>
      <c r="Q1" s="1" t="inlineStr">
        <is>
          <t>Precision_formula</t>
        </is>
      </c>
      <c r="R1" s="1" t="inlineStr">
        <is>
          <t>Recall_formula</t>
        </is>
      </c>
      <c r="S1" s="1" t="inlineStr">
        <is>
          <t>F1_formula</t>
        </is>
      </c>
      <c r="T1" s="1" t="inlineStr">
        <is>
          <t>Specificity_Metric1</t>
        </is>
      </c>
      <c r="U1" s="1" t="inlineStr">
        <is>
          <t>MCC_Metric2</t>
        </is>
      </c>
    </row>
    <row r="2">
      <c r="A2" t="n">
        <v>1</v>
      </c>
      <c r="B2" t="inlineStr">
        <is>
          <t>LDA</t>
        </is>
      </c>
      <c r="C2" t="inlineStr">
        <is>
          <t>train</t>
        </is>
      </c>
      <c r="D2" t="inlineStr">
        <is>
          <t>unbalanced</t>
        </is>
      </c>
      <c r="E2" t="n">
        <v>8037</v>
      </c>
      <c r="F2" t="n">
        <v>186</v>
      </c>
      <c r="G2" t="n">
        <v>16</v>
      </c>
      <c r="H2" t="n">
        <v>7755</v>
      </c>
      <c r="I2" t="n">
        <v>96</v>
      </c>
      <c r="J2" t="n">
        <v>170</v>
      </c>
      <c r="K2" t="n">
        <v>0.97</v>
      </c>
      <c r="L2" t="n">
        <v>0.14</v>
      </c>
      <c r="M2" t="n">
        <v>0.09</v>
      </c>
      <c r="N2" t="n">
        <v>0.11</v>
      </c>
      <c r="O2" t="n">
        <v>0.84</v>
      </c>
      <c r="P2" s="2">
        <f>IFERROR((G2+H2)/(G2+H2+I2+J2),0)</f>
        <v/>
      </c>
      <c r="Q2" s="2">
        <f>IFERROR(G2/(G2+I2),0)</f>
        <v/>
      </c>
      <c r="R2" s="2">
        <f>IFERROR(G2/(G2+J2),0)</f>
        <v/>
      </c>
      <c r="S2" s="2">
        <f>IFERROR(2*Q2*R2/(Q2+R2),0)</f>
        <v/>
      </c>
      <c r="T2" s="2">
        <f>IFERROR(H2/(H2+I2),0)</f>
        <v/>
      </c>
      <c r="U2" s="2">
        <f>IFERROR((G2*H2-I2*J2)/SQRT((G2+I2)*(G2+J2)*(H2+I2)*(H2+J2)),0)</f>
        <v/>
      </c>
    </row>
    <row r="3">
      <c r="A3" t="n">
        <v>1</v>
      </c>
      <c r="B3" t="inlineStr">
        <is>
          <t>LDA</t>
        </is>
      </c>
      <c r="C3" t="inlineStr">
        <is>
          <t>test</t>
        </is>
      </c>
      <c r="D3" t="inlineStr">
        <is>
          <t>unbalanced</t>
        </is>
      </c>
      <c r="E3" t="n">
        <v>8037</v>
      </c>
      <c r="F3" t="n">
        <v>186</v>
      </c>
      <c r="G3" t="n">
        <v>1</v>
      </c>
      <c r="H3" t="n">
        <v>2589</v>
      </c>
      <c r="I3" t="n">
        <v>28</v>
      </c>
      <c r="J3" t="n">
        <v>61</v>
      </c>
      <c r="K3" t="n">
        <v>0.97</v>
      </c>
      <c r="L3" t="n">
        <v>0.03</v>
      </c>
      <c r="M3" t="n">
        <v>0.02</v>
      </c>
      <c r="N3" t="n">
        <v>0.02</v>
      </c>
      <c r="O3" t="n">
        <v>0.82</v>
      </c>
      <c r="P3" s="2">
        <f>IFERROR((G3+H3)/(G3+H3+I3+J3),0)</f>
        <v/>
      </c>
      <c r="Q3" s="2">
        <f>IFERROR(G3/(G3+I3),0)</f>
        <v/>
      </c>
      <c r="R3" s="2">
        <f>IFERROR(G3/(G3+J3),0)</f>
        <v/>
      </c>
      <c r="S3" s="2">
        <f>IFERROR(2*Q3*R3/(Q3+R3),0)</f>
        <v/>
      </c>
      <c r="T3" s="2">
        <f>IFERROR(H3/(H3+I3),0)</f>
        <v/>
      </c>
      <c r="U3" s="2">
        <f>IFERROR((G3*H3-I3*J3)/SQRT((G3+I3)*(G3+J3)*(H3+I3)*(H3+J3)),0)</f>
        <v/>
      </c>
    </row>
    <row r="4">
      <c r="A4" t="n">
        <v>1</v>
      </c>
      <c r="B4" t="inlineStr">
        <is>
          <t>LogisticRegression</t>
        </is>
      </c>
      <c r="C4" t="inlineStr">
        <is>
          <t>train</t>
        </is>
      </c>
      <c r="D4" t="inlineStr">
        <is>
          <t>unbalanced</t>
        </is>
      </c>
      <c r="E4" t="n">
        <v>8037</v>
      </c>
      <c r="F4" t="n">
        <v>186</v>
      </c>
      <c r="G4" t="n">
        <v>1</v>
      </c>
      <c r="H4" t="n">
        <v>7851</v>
      </c>
      <c r="I4" t="n">
        <v>0</v>
      </c>
      <c r="J4" t="n">
        <v>185</v>
      </c>
      <c r="K4" t="n">
        <v>0.98</v>
      </c>
      <c r="L4" t="n">
        <v>1</v>
      </c>
      <c r="M4" t="n">
        <v>0.01</v>
      </c>
      <c r="N4" t="n">
        <v>0.01</v>
      </c>
      <c r="O4" t="n">
        <v>0.84</v>
      </c>
      <c r="P4" s="2">
        <f>IFERROR((G4+H4)/(G4+H4+I4+J4),0)</f>
        <v/>
      </c>
      <c r="Q4" s="2">
        <f>IFERROR(G4/(G4+I4),0)</f>
        <v/>
      </c>
      <c r="R4" s="2">
        <f>IFERROR(G4/(G4+J4),0)</f>
        <v/>
      </c>
      <c r="S4" s="2">
        <f>IFERROR(2*Q4*R4/(Q4+R4),0)</f>
        <v/>
      </c>
      <c r="T4" s="2">
        <f>IFERROR(H4/(H4+I4),0)</f>
        <v/>
      </c>
      <c r="U4" s="2">
        <f>IFERROR((G4*H4-I4*J4)/SQRT((G4+I4)*(G4+J4)*(H4+I4)*(H4+J4)),0)</f>
        <v/>
      </c>
    </row>
    <row r="5">
      <c r="A5" t="n">
        <v>1</v>
      </c>
      <c r="B5" t="inlineStr">
        <is>
          <t>LogisticRegression</t>
        </is>
      </c>
      <c r="C5" t="inlineStr">
        <is>
          <t>test</t>
        </is>
      </c>
      <c r="D5" t="inlineStr">
        <is>
          <t>unbalanced</t>
        </is>
      </c>
      <c r="E5" t="n">
        <v>8037</v>
      </c>
      <c r="F5" t="n">
        <v>186</v>
      </c>
      <c r="G5" t="n">
        <v>0</v>
      </c>
      <c r="H5" t="n">
        <v>2615</v>
      </c>
      <c r="I5" t="n">
        <v>2</v>
      </c>
      <c r="J5" t="n">
        <v>62</v>
      </c>
      <c r="K5" t="n">
        <v>0.98</v>
      </c>
      <c r="L5" t="n">
        <v>0</v>
      </c>
      <c r="M5" t="n">
        <v>0</v>
      </c>
      <c r="N5" t="n">
        <v>0</v>
      </c>
      <c r="O5" t="n">
        <v>0.84</v>
      </c>
      <c r="P5" s="2">
        <f>IFERROR((G5+H5)/(G5+H5+I5+J5),0)</f>
        <v/>
      </c>
      <c r="Q5" s="2">
        <f>IFERROR(G5/(G5+I5),0)</f>
        <v/>
      </c>
      <c r="R5" s="2">
        <f>IFERROR(G5/(G5+J5),0)</f>
        <v/>
      </c>
      <c r="S5" s="2">
        <f>IFERROR(2*Q5*R5/(Q5+R5),0)</f>
        <v/>
      </c>
      <c r="T5" s="2">
        <f>IFERROR(H5/(H5+I5),0)</f>
        <v/>
      </c>
      <c r="U5" s="2">
        <f>IFERROR((G5*H5-I5*J5)/SQRT((G5+I5)*(G5+J5)*(H5+I5)*(H5+J5)),0)</f>
        <v/>
      </c>
    </row>
    <row r="6">
      <c r="A6" t="n">
        <v>1</v>
      </c>
      <c r="B6" t="inlineStr">
        <is>
          <t>DecisionTree</t>
        </is>
      </c>
      <c r="C6" t="inlineStr">
        <is>
          <t>train</t>
        </is>
      </c>
      <c r="D6" t="inlineStr">
        <is>
          <t>unbalanced</t>
        </is>
      </c>
      <c r="E6" t="n">
        <v>8037</v>
      </c>
      <c r="F6" t="n">
        <v>186</v>
      </c>
      <c r="G6" t="n">
        <v>186</v>
      </c>
      <c r="H6" t="n">
        <v>7851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s="2">
        <f>IFERROR((G6+H6)/(G6+H6+I6+J6),0)</f>
        <v/>
      </c>
      <c r="Q6" s="2">
        <f>IFERROR(G6/(G6+I6),0)</f>
        <v/>
      </c>
      <c r="R6" s="2">
        <f>IFERROR(G6/(G6+J6),0)</f>
        <v/>
      </c>
      <c r="S6" s="2">
        <f>IFERROR(2*Q6*R6/(Q6+R6),0)</f>
        <v/>
      </c>
      <c r="T6" s="2">
        <f>IFERROR(H6/(H6+I6),0)</f>
        <v/>
      </c>
      <c r="U6" s="2">
        <f>IFERROR((G6*H6-I6*J6)/SQRT((G6+I6)*(G6+J6)*(H6+I6)*(H6+J6)),0)</f>
        <v/>
      </c>
    </row>
    <row r="7">
      <c r="A7" t="n">
        <v>1</v>
      </c>
      <c r="B7" t="inlineStr">
        <is>
          <t>DecisionTree</t>
        </is>
      </c>
      <c r="C7" t="inlineStr">
        <is>
          <t>test</t>
        </is>
      </c>
      <c r="D7" t="inlineStr">
        <is>
          <t>unbalanced</t>
        </is>
      </c>
      <c r="E7" t="n">
        <v>8037</v>
      </c>
      <c r="F7" t="n">
        <v>186</v>
      </c>
      <c r="G7" t="n">
        <v>4</v>
      </c>
      <c r="H7" t="n">
        <v>2562</v>
      </c>
      <c r="I7" t="n">
        <v>55</v>
      </c>
      <c r="J7" t="n">
        <v>58</v>
      </c>
      <c r="K7" t="n">
        <v>0.96</v>
      </c>
      <c r="L7" t="n">
        <v>0.07000000000000001</v>
      </c>
      <c r="M7" t="n">
        <v>0.06</v>
      </c>
      <c r="N7" t="n">
        <v>0.07000000000000001</v>
      </c>
      <c r="O7" t="n">
        <v>0.52</v>
      </c>
      <c r="P7" s="2">
        <f>IFERROR((G7+H7)/(G7+H7+I7+J7),0)</f>
        <v/>
      </c>
      <c r="Q7" s="2">
        <f>IFERROR(G7/(G7+I7),0)</f>
        <v/>
      </c>
      <c r="R7" s="2">
        <f>IFERROR(G7/(G7+J7),0)</f>
        <v/>
      </c>
      <c r="S7" s="2">
        <f>IFERROR(2*Q7*R7/(Q7+R7),0)</f>
        <v/>
      </c>
      <c r="T7" s="2">
        <f>IFERROR(H7/(H7+I7),0)</f>
        <v/>
      </c>
      <c r="U7" s="2">
        <f>IFERROR((G7*H7-I7*J7)/SQRT((G7+I7)*(G7+J7)*(H7+I7)*(H7+J7)),0)</f>
        <v/>
      </c>
    </row>
    <row r="8">
      <c r="A8" t="n">
        <v>1</v>
      </c>
      <c r="B8" t="inlineStr">
        <is>
          <t>RandomForest</t>
        </is>
      </c>
      <c r="C8" t="inlineStr">
        <is>
          <t>train</t>
        </is>
      </c>
      <c r="D8" t="inlineStr">
        <is>
          <t>unbalanced</t>
        </is>
      </c>
      <c r="E8" t="n">
        <v>8037</v>
      </c>
      <c r="F8" t="n">
        <v>186</v>
      </c>
      <c r="G8" t="n">
        <v>186</v>
      </c>
      <c r="H8" t="n">
        <v>7851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s="2">
        <f>IFERROR((G8+H8)/(G8+H8+I8+J8),0)</f>
        <v/>
      </c>
      <c r="Q8" s="2">
        <f>IFERROR(G8/(G8+I8),0)</f>
        <v/>
      </c>
      <c r="R8" s="2">
        <f>IFERROR(G8/(G8+J8),0)</f>
        <v/>
      </c>
      <c r="S8" s="2">
        <f>IFERROR(2*Q8*R8/(Q8+R8),0)</f>
        <v/>
      </c>
      <c r="T8" s="2">
        <f>IFERROR(H8/(H8+I8),0)</f>
        <v/>
      </c>
      <c r="U8" s="2">
        <f>IFERROR((G8*H8-I8*J8)/SQRT((G8+I8)*(G8+J8)*(H8+I8)*(H8+J8)),0)</f>
        <v/>
      </c>
    </row>
    <row r="9">
      <c r="A9" t="n">
        <v>1</v>
      </c>
      <c r="B9" t="inlineStr">
        <is>
          <t>RandomForest</t>
        </is>
      </c>
      <c r="C9" t="inlineStr">
        <is>
          <t>test</t>
        </is>
      </c>
      <c r="D9" t="inlineStr">
        <is>
          <t>unbalanced</t>
        </is>
      </c>
      <c r="E9" t="n">
        <v>8037</v>
      </c>
      <c r="F9" t="n">
        <v>186</v>
      </c>
      <c r="G9" t="n">
        <v>1</v>
      </c>
      <c r="H9" t="n">
        <v>2616</v>
      </c>
      <c r="I9" t="n">
        <v>1</v>
      </c>
      <c r="J9" t="n">
        <v>61</v>
      </c>
      <c r="K9" t="n">
        <v>0.98</v>
      </c>
      <c r="L9" t="n">
        <v>0.5</v>
      </c>
      <c r="M9" t="n">
        <v>0.02</v>
      </c>
      <c r="N9" t="n">
        <v>0.03</v>
      </c>
      <c r="O9" t="n">
        <v>0.85</v>
      </c>
      <c r="P9" s="2">
        <f>IFERROR((G9+H9)/(G9+H9+I9+J9),0)</f>
        <v/>
      </c>
      <c r="Q9" s="2">
        <f>IFERROR(G9/(G9+I9),0)</f>
        <v/>
      </c>
      <c r="R9" s="2">
        <f>IFERROR(G9/(G9+J9),0)</f>
        <v/>
      </c>
      <c r="S9" s="2">
        <f>IFERROR(2*Q9*R9/(Q9+R9),0)</f>
        <v/>
      </c>
      <c r="T9" s="2">
        <f>IFERROR(H9/(H9+I9),0)</f>
        <v/>
      </c>
      <c r="U9" s="2">
        <f>IFERROR((G9*H9-I9*J9)/SQRT((G9+I9)*(G9+J9)*(H9+I9)*(H9+J9)),0)</f>
        <v/>
      </c>
    </row>
    <row r="10">
      <c r="A10" t="n">
        <v>1</v>
      </c>
      <c r="B10" t="inlineStr">
        <is>
          <t>kNN</t>
        </is>
      </c>
      <c r="C10" t="inlineStr">
        <is>
          <t>train</t>
        </is>
      </c>
      <c r="D10" t="inlineStr">
        <is>
          <t>unbalanced</t>
        </is>
      </c>
      <c r="E10" t="n">
        <v>8037</v>
      </c>
      <c r="F10" t="n">
        <v>186</v>
      </c>
      <c r="G10" t="n">
        <v>12</v>
      </c>
      <c r="H10" t="n">
        <v>7847</v>
      </c>
      <c r="I10" t="n">
        <v>4</v>
      </c>
      <c r="J10" t="n">
        <v>174</v>
      </c>
      <c r="K10" t="n">
        <v>0.98</v>
      </c>
      <c r="L10" t="n">
        <v>0.75</v>
      </c>
      <c r="M10" t="n">
        <v>0.06</v>
      </c>
      <c r="N10" t="n">
        <v>0.12</v>
      </c>
      <c r="O10" t="n">
        <v>0.97</v>
      </c>
      <c r="P10" s="2">
        <f>IFERROR((G10+H10)/(G10+H10+I10+J10),0)</f>
        <v/>
      </c>
      <c r="Q10" s="2">
        <f>IFERROR(G10/(G10+I10),0)</f>
        <v/>
      </c>
      <c r="R10" s="2">
        <f>IFERROR(G10/(G10+J10),0)</f>
        <v/>
      </c>
      <c r="S10" s="2">
        <f>IFERROR(2*Q10*R10/(Q10+R10),0)</f>
        <v/>
      </c>
      <c r="T10" s="2">
        <f>IFERROR(H10/(H10+I10),0)</f>
        <v/>
      </c>
      <c r="U10" s="2">
        <f>IFERROR((G10*H10-I10*J10)/SQRT((G10+I10)*(G10+J10)*(H10+I10)*(H10+J10)),0)</f>
        <v/>
      </c>
    </row>
    <row r="11">
      <c r="A11" t="n">
        <v>1</v>
      </c>
      <c r="B11" t="inlineStr">
        <is>
          <t>kNN</t>
        </is>
      </c>
      <c r="C11" t="inlineStr">
        <is>
          <t>test</t>
        </is>
      </c>
      <c r="D11" t="inlineStr">
        <is>
          <t>unbalanced</t>
        </is>
      </c>
      <c r="E11" t="n">
        <v>8037</v>
      </c>
      <c r="F11" t="n">
        <v>186</v>
      </c>
      <c r="G11" t="n">
        <v>2</v>
      </c>
      <c r="H11" t="n">
        <v>2613</v>
      </c>
      <c r="I11" t="n">
        <v>4</v>
      </c>
      <c r="J11" t="n">
        <v>60</v>
      </c>
      <c r="K11" t="n">
        <v>0.98</v>
      </c>
      <c r="L11" t="n">
        <v>0.33</v>
      </c>
      <c r="M11" t="n">
        <v>0.03</v>
      </c>
      <c r="N11" t="n">
        <v>0.06</v>
      </c>
      <c r="O11" t="n">
        <v>0.68</v>
      </c>
      <c r="P11" s="2">
        <f>IFERROR((G11+H11)/(G11+H11+I11+J11),0)</f>
        <v/>
      </c>
      <c r="Q11" s="2">
        <f>IFERROR(G11/(G11+I11),0)</f>
        <v/>
      </c>
      <c r="R11" s="2">
        <f>IFERROR(G11/(G11+J11),0)</f>
        <v/>
      </c>
      <c r="S11" s="2">
        <f>IFERROR(2*Q11*R11/(Q11+R11),0)</f>
        <v/>
      </c>
      <c r="T11" s="2">
        <f>IFERROR(H11/(H11+I11),0)</f>
        <v/>
      </c>
      <c r="U11" s="2">
        <f>IFERROR((G11*H11-I11*J11)/SQRT((G11+I11)*(G11+J11)*(H11+I11)*(H11+J11)),0)</f>
        <v/>
      </c>
    </row>
    <row r="12">
      <c r="A12" t="n">
        <v>1</v>
      </c>
      <c r="B12" t="inlineStr">
        <is>
          <t>NaiveBayes</t>
        </is>
      </c>
      <c r="C12" t="inlineStr">
        <is>
          <t>train</t>
        </is>
      </c>
      <c r="D12" t="inlineStr">
        <is>
          <t>unbalanced</t>
        </is>
      </c>
      <c r="E12" t="n">
        <v>8037</v>
      </c>
      <c r="F12" t="n">
        <v>186</v>
      </c>
      <c r="G12" t="n">
        <v>43</v>
      </c>
      <c r="H12" t="n">
        <v>7418</v>
      </c>
      <c r="I12" t="n">
        <v>433</v>
      </c>
      <c r="J12" t="n">
        <v>143</v>
      </c>
      <c r="K12" t="n">
        <v>0.93</v>
      </c>
      <c r="L12" t="n">
        <v>0.09</v>
      </c>
      <c r="M12" t="n">
        <v>0.23</v>
      </c>
      <c r="N12" t="n">
        <v>0.13</v>
      </c>
      <c r="O12" t="n">
        <v>0.83</v>
      </c>
      <c r="P12" s="2">
        <f>IFERROR((G12+H12)/(G12+H12+I12+J12),0)</f>
        <v/>
      </c>
      <c r="Q12" s="2">
        <f>IFERROR(G12/(G12+I12),0)</f>
        <v/>
      </c>
      <c r="R12" s="2">
        <f>IFERROR(G12/(G12+J12),0)</f>
        <v/>
      </c>
      <c r="S12" s="2">
        <f>IFERROR(2*Q12*R12/(Q12+R12),0)</f>
        <v/>
      </c>
      <c r="T12" s="2">
        <f>IFERROR(H12/(H12+I12),0)</f>
        <v/>
      </c>
      <c r="U12" s="2">
        <f>IFERROR((G12*H12-I12*J12)/SQRT((G12+I12)*(G12+J12)*(H12+I12)*(H12+J12)),0)</f>
        <v/>
      </c>
    </row>
    <row r="13">
      <c r="A13" t="n">
        <v>1</v>
      </c>
      <c r="B13" t="inlineStr">
        <is>
          <t>NaiveBayes</t>
        </is>
      </c>
      <c r="C13" t="inlineStr">
        <is>
          <t>test</t>
        </is>
      </c>
      <c r="D13" t="inlineStr">
        <is>
          <t>unbalanced</t>
        </is>
      </c>
      <c r="E13" t="n">
        <v>8037</v>
      </c>
      <c r="F13" t="n">
        <v>186</v>
      </c>
      <c r="G13" t="n">
        <v>12</v>
      </c>
      <c r="H13" t="n">
        <v>2495</v>
      </c>
      <c r="I13" t="n">
        <v>122</v>
      </c>
      <c r="J13" t="n">
        <v>50</v>
      </c>
      <c r="K13" t="n">
        <v>0.9399999999999999</v>
      </c>
      <c r="L13" t="n">
        <v>0.09</v>
      </c>
      <c r="M13" t="n">
        <v>0.19</v>
      </c>
      <c r="N13" t="n">
        <v>0.12</v>
      </c>
      <c r="O13" t="n">
        <v>0.82</v>
      </c>
      <c r="P13" s="2">
        <f>IFERROR((G13+H13)/(G13+H13+I13+J13),0)</f>
        <v/>
      </c>
      <c r="Q13" s="2">
        <f>IFERROR(G13/(G13+I13),0)</f>
        <v/>
      </c>
      <c r="R13" s="2">
        <f>IFERROR(G13/(G13+J13),0)</f>
        <v/>
      </c>
      <c r="S13" s="2">
        <f>IFERROR(2*Q13*R13/(Q13+R13),0)</f>
        <v/>
      </c>
      <c r="T13" s="2">
        <f>IFERROR(H13/(H13+I13),0)</f>
        <v/>
      </c>
      <c r="U13" s="2">
        <f>IFERROR((G13*H13-I13*J13)/SQRT((G13+I13)*(G13+J13)*(H13+I13)*(H13+J13)),0)</f>
        <v/>
      </c>
    </row>
    <row r="14">
      <c r="A14" t="n">
        <v>1</v>
      </c>
      <c r="B14" t="inlineStr">
        <is>
          <t>SVM</t>
        </is>
      </c>
      <c r="C14" t="inlineStr">
        <is>
          <t>train</t>
        </is>
      </c>
      <c r="D14" t="inlineStr">
        <is>
          <t>unbalanced</t>
        </is>
      </c>
      <c r="E14" t="n">
        <v>8037</v>
      </c>
      <c r="F14" t="n">
        <v>186</v>
      </c>
      <c r="G14" t="n">
        <v>0</v>
      </c>
      <c r="H14" t="n">
        <v>7851</v>
      </c>
      <c r="I14" t="n">
        <v>0</v>
      </c>
      <c r="J14" t="n">
        <v>186</v>
      </c>
      <c r="K14" t="n">
        <v>0.98</v>
      </c>
      <c r="L14" t="n">
        <v>0</v>
      </c>
      <c r="M14" t="n">
        <v>0</v>
      </c>
      <c r="N14" t="n">
        <v>0</v>
      </c>
      <c r="O14" t="n">
        <v>0.88</v>
      </c>
      <c r="P14" s="2">
        <f>IFERROR((G14+H14)/(G14+H14+I14+J14),0)</f>
        <v/>
      </c>
      <c r="Q14" s="2">
        <f>IFERROR(G14/(G14+I14),0)</f>
        <v/>
      </c>
      <c r="R14" s="2">
        <f>IFERROR(G14/(G14+J14),0)</f>
        <v/>
      </c>
      <c r="S14" s="2">
        <f>IFERROR(2*Q14*R14/(Q14+R14),0)</f>
        <v/>
      </c>
      <c r="T14" s="2">
        <f>IFERROR(H14/(H14+I14),0)</f>
        <v/>
      </c>
      <c r="U14" s="2">
        <f>IFERROR((G14*H14-I14*J14)/SQRT((G14+I14)*(G14+J14)*(H14+I14)*(H14+J14)),0)</f>
        <v/>
      </c>
    </row>
    <row r="15">
      <c r="A15" t="n">
        <v>1</v>
      </c>
      <c r="B15" t="inlineStr">
        <is>
          <t>SVM</t>
        </is>
      </c>
      <c r="C15" t="inlineStr">
        <is>
          <t>test</t>
        </is>
      </c>
      <c r="D15" t="inlineStr">
        <is>
          <t>unbalanced</t>
        </is>
      </c>
      <c r="E15" t="n">
        <v>8037</v>
      </c>
      <c r="F15" t="n">
        <v>186</v>
      </c>
      <c r="G15" t="n">
        <v>0</v>
      </c>
      <c r="H15" t="n">
        <v>2617</v>
      </c>
      <c r="I15" t="n">
        <v>0</v>
      </c>
      <c r="J15" t="n">
        <v>62</v>
      </c>
      <c r="K15" t="n">
        <v>0.98</v>
      </c>
      <c r="L15" t="n">
        <v>0</v>
      </c>
      <c r="M15" t="n">
        <v>0</v>
      </c>
      <c r="N15" t="n">
        <v>0</v>
      </c>
      <c r="O15" t="n">
        <v>0.7</v>
      </c>
      <c r="P15" s="2">
        <f>IFERROR((G15+H15)/(G15+H15+I15+J15),0)</f>
        <v/>
      </c>
      <c r="Q15" s="2">
        <f>IFERROR(G15/(G15+I15),0)</f>
        <v/>
      </c>
      <c r="R15" s="2">
        <f>IFERROR(G15/(G15+J15),0)</f>
        <v/>
      </c>
      <c r="S15" s="2">
        <f>IFERROR(2*Q15*R15/(Q15+R15),0)</f>
        <v/>
      </c>
      <c r="T15" s="2">
        <f>IFERROR(H15/(H15+I15),0)</f>
        <v/>
      </c>
      <c r="U15" s="2">
        <f>IFERROR((G15*H15-I15*J15)/SQRT((G15+I15)*(G15+J15)*(H15+I15)*(H15+J15)),0)</f>
        <v/>
      </c>
    </row>
    <row r="16">
      <c r="A16" t="n">
        <v>1</v>
      </c>
      <c r="B16" t="inlineStr">
        <is>
          <t>GradientBoosting</t>
        </is>
      </c>
      <c r="C16" t="inlineStr">
        <is>
          <t>train</t>
        </is>
      </c>
      <c r="D16" t="inlineStr">
        <is>
          <t>unbalanced</t>
        </is>
      </c>
      <c r="E16" t="n">
        <v>8037</v>
      </c>
      <c r="F16" t="n">
        <v>186</v>
      </c>
      <c r="G16" t="n">
        <v>50</v>
      </c>
      <c r="H16" t="n">
        <v>7850</v>
      </c>
      <c r="I16" t="n">
        <v>1</v>
      </c>
      <c r="J16" t="n">
        <v>136</v>
      </c>
      <c r="K16" t="n">
        <v>0.98</v>
      </c>
      <c r="L16" t="n">
        <v>0.98</v>
      </c>
      <c r="M16" t="n">
        <v>0.27</v>
      </c>
      <c r="N16" t="n">
        <v>0.42</v>
      </c>
      <c r="O16" t="n">
        <v>0.96</v>
      </c>
      <c r="P16" s="2">
        <f>IFERROR((G16+H16)/(G16+H16+I16+J16),0)</f>
        <v/>
      </c>
      <c r="Q16" s="2">
        <f>IFERROR(G16/(G16+I16),0)</f>
        <v/>
      </c>
      <c r="R16" s="2">
        <f>IFERROR(G16/(G16+J16),0)</f>
        <v/>
      </c>
      <c r="S16" s="2">
        <f>IFERROR(2*Q16*R16/(Q16+R16),0)</f>
        <v/>
      </c>
      <c r="T16" s="2">
        <f>IFERROR(H16/(H16+I16),0)</f>
        <v/>
      </c>
      <c r="U16" s="2">
        <f>IFERROR((G16*H16-I16*J16)/SQRT((G16+I16)*(G16+J16)*(H16+I16)*(H16+J16)),0)</f>
        <v/>
      </c>
    </row>
    <row r="17">
      <c r="A17" t="n">
        <v>1</v>
      </c>
      <c r="B17" t="inlineStr">
        <is>
          <t>GradientBoosting</t>
        </is>
      </c>
      <c r="C17" t="inlineStr">
        <is>
          <t>test</t>
        </is>
      </c>
      <c r="D17" t="inlineStr">
        <is>
          <t>unbalanced</t>
        </is>
      </c>
      <c r="E17" t="n">
        <v>8037</v>
      </c>
      <c r="F17" t="n">
        <v>186</v>
      </c>
      <c r="G17" t="n">
        <v>1</v>
      </c>
      <c r="H17" t="n">
        <v>2613</v>
      </c>
      <c r="I17" t="n">
        <v>4</v>
      </c>
      <c r="J17" t="n">
        <v>61</v>
      </c>
      <c r="K17" t="n">
        <v>0.98</v>
      </c>
      <c r="L17" t="n">
        <v>0.2</v>
      </c>
      <c r="M17" t="n">
        <v>0.02</v>
      </c>
      <c r="N17" t="n">
        <v>0.03</v>
      </c>
      <c r="O17" t="n">
        <v>0.83</v>
      </c>
      <c r="P17" s="2">
        <f>IFERROR((G17+H17)/(G17+H17+I17+J17),0)</f>
        <v/>
      </c>
      <c r="Q17" s="2">
        <f>IFERROR(G17/(G17+I17),0)</f>
        <v/>
      </c>
      <c r="R17" s="2">
        <f>IFERROR(G17/(G17+J17),0)</f>
        <v/>
      </c>
      <c r="S17" s="2">
        <f>IFERROR(2*Q17*R17/(Q17+R17),0)</f>
        <v/>
      </c>
      <c r="T17" s="2">
        <f>IFERROR(H17/(H17+I17),0)</f>
        <v/>
      </c>
      <c r="U17" s="2">
        <f>IFERROR((G17*H17-I17*J17)/SQRT((G17+I17)*(G17+J17)*(H17+I17)*(H17+J17)),0)</f>
        <v/>
      </c>
    </row>
    <row r="18">
      <c r="A18" t="n">
        <v>1</v>
      </c>
      <c r="B18" t="inlineStr">
        <is>
          <t>LDA</t>
        </is>
      </c>
      <c r="C18" t="inlineStr">
        <is>
          <t>train</t>
        </is>
      </c>
      <c r="D18" t="inlineStr">
        <is>
          <t>balanced</t>
        </is>
      </c>
      <c r="E18" t="n">
        <v>744</v>
      </c>
      <c r="F18" t="n">
        <v>186</v>
      </c>
      <c r="G18" t="n">
        <v>62</v>
      </c>
      <c r="H18" t="n">
        <v>525</v>
      </c>
      <c r="I18" t="n">
        <v>33</v>
      </c>
      <c r="J18" t="n">
        <v>124</v>
      </c>
      <c r="K18" t="n">
        <v>0.79</v>
      </c>
      <c r="L18" t="n">
        <v>0.65</v>
      </c>
      <c r="M18" t="n">
        <v>0.33</v>
      </c>
      <c r="N18" t="n">
        <v>0.44</v>
      </c>
      <c r="O18" t="n">
        <v>0.85</v>
      </c>
      <c r="P18" s="2">
        <f>IFERROR((G18+H18)/(G18+H18+I18+J18),0)</f>
        <v/>
      </c>
      <c r="Q18" s="2">
        <f>IFERROR(G18/(G18+I18),0)</f>
        <v/>
      </c>
      <c r="R18" s="2">
        <f>IFERROR(G18/(G18+J18),0)</f>
        <v/>
      </c>
      <c r="S18" s="2">
        <f>IFERROR(2*Q18*R18/(Q18+R18),0)</f>
        <v/>
      </c>
      <c r="T18" s="2">
        <f>IFERROR(H18/(H18+I18),0)</f>
        <v/>
      </c>
      <c r="U18" s="2">
        <f>IFERROR((G18*H18-I18*J18)/SQRT((G18+I18)*(G18+J18)*(H18+I18)*(H18+J18)),0)</f>
        <v/>
      </c>
    </row>
    <row r="19">
      <c r="A19" t="n">
        <v>1</v>
      </c>
      <c r="B19" t="inlineStr">
        <is>
          <t>LDA</t>
        </is>
      </c>
      <c r="C19" t="inlineStr">
        <is>
          <t>test</t>
        </is>
      </c>
      <c r="D19" t="inlineStr">
        <is>
          <t>balanced</t>
        </is>
      </c>
      <c r="E19" t="n">
        <v>744</v>
      </c>
      <c r="F19" t="n">
        <v>186</v>
      </c>
      <c r="G19" t="n">
        <v>25</v>
      </c>
      <c r="H19" t="n">
        <v>2476</v>
      </c>
      <c r="I19" t="n">
        <v>141</v>
      </c>
      <c r="J19" t="n">
        <v>37</v>
      </c>
      <c r="K19" t="n">
        <v>0.93</v>
      </c>
      <c r="L19" t="n">
        <v>0.15</v>
      </c>
      <c r="M19" t="n">
        <v>0.4</v>
      </c>
      <c r="N19" t="n">
        <v>0.22</v>
      </c>
      <c r="O19" t="n">
        <v>0.83</v>
      </c>
      <c r="P19" s="2">
        <f>IFERROR((G19+H19)/(G19+H19+I19+J19),0)</f>
        <v/>
      </c>
      <c r="Q19" s="2">
        <f>IFERROR(G19/(G19+I19),0)</f>
        <v/>
      </c>
      <c r="R19" s="2">
        <f>IFERROR(G19/(G19+J19),0)</f>
        <v/>
      </c>
      <c r="S19" s="2">
        <f>IFERROR(2*Q19*R19/(Q19+R19),0)</f>
        <v/>
      </c>
      <c r="T19" s="2">
        <f>IFERROR(H19/(H19+I19),0)</f>
        <v/>
      </c>
      <c r="U19" s="2">
        <f>IFERROR((G19*H19-I19*J19)/SQRT((G19+I19)*(G19+J19)*(H19+I19)*(H19+J19)),0)</f>
        <v/>
      </c>
    </row>
    <row r="20">
      <c r="A20" t="n">
        <v>1</v>
      </c>
      <c r="B20" t="inlineStr">
        <is>
          <t>LogisticRegression</t>
        </is>
      </c>
      <c r="C20" t="inlineStr">
        <is>
          <t>train</t>
        </is>
      </c>
      <c r="D20" t="inlineStr">
        <is>
          <t>balanced</t>
        </is>
      </c>
      <c r="E20" t="n">
        <v>744</v>
      </c>
      <c r="F20" t="n">
        <v>186</v>
      </c>
      <c r="G20" t="n">
        <v>56</v>
      </c>
      <c r="H20" t="n">
        <v>528</v>
      </c>
      <c r="I20" t="n">
        <v>30</v>
      </c>
      <c r="J20" t="n">
        <v>130</v>
      </c>
      <c r="K20" t="n">
        <v>0.78</v>
      </c>
      <c r="L20" t="n">
        <v>0.65</v>
      </c>
      <c r="M20" t="n">
        <v>0.3</v>
      </c>
      <c r="N20" t="n">
        <v>0.41</v>
      </c>
      <c r="O20" t="n">
        <v>0.84</v>
      </c>
      <c r="P20" s="2">
        <f>IFERROR((G20+H20)/(G20+H20+I20+J20),0)</f>
        <v/>
      </c>
      <c r="Q20" s="2">
        <f>IFERROR(G20/(G20+I20),0)</f>
        <v/>
      </c>
      <c r="R20" s="2">
        <f>IFERROR(G20/(G20+J20),0)</f>
        <v/>
      </c>
      <c r="S20" s="2">
        <f>IFERROR(2*Q20*R20/(Q20+R20),0)</f>
        <v/>
      </c>
      <c r="T20" s="2">
        <f>IFERROR(H20/(H20+I20),0)</f>
        <v/>
      </c>
      <c r="U20" s="2">
        <f>IFERROR((G20*H20-I20*J20)/SQRT((G20+I20)*(G20+J20)*(H20+I20)*(H20+J20)),0)</f>
        <v/>
      </c>
    </row>
    <row r="21">
      <c r="A21" t="n">
        <v>1</v>
      </c>
      <c r="B21" t="inlineStr">
        <is>
          <t>LogisticRegression</t>
        </is>
      </c>
      <c r="C21" t="inlineStr">
        <is>
          <t>test</t>
        </is>
      </c>
      <c r="D21" t="inlineStr">
        <is>
          <t>balanced</t>
        </is>
      </c>
      <c r="E21" t="n">
        <v>744</v>
      </c>
      <c r="F21" t="n">
        <v>186</v>
      </c>
      <c r="G21" t="n">
        <v>22</v>
      </c>
      <c r="H21" t="n">
        <v>2493</v>
      </c>
      <c r="I21" t="n">
        <v>124</v>
      </c>
      <c r="J21" t="n">
        <v>40</v>
      </c>
      <c r="K21" t="n">
        <v>0.9399999999999999</v>
      </c>
      <c r="L21" t="n">
        <v>0.15</v>
      </c>
      <c r="M21" t="n">
        <v>0.35</v>
      </c>
      <c r="N21" t="n">
        <v>0.21</v>
      </c>
      <c r="O21" t="n">
        <v>0.83</v>
      </c>
      <c r="P21" s="2">
        <f>IFERROR((G21+H21)/(G21+H21+I21+J21),0)</f>
        <v/>
      </c>
      <c r="Q21" s="2">
        <f>IFERROR(G21/(G21+I21),0)</f>
        <v/>
      </c>
      <c r="R21" s="2">
        <f>IFERROR(G21/(G21+J21),0)</f>
        <v/>
      </c>
      <c r="S21" s="2">
        <f>IFERROR(2*Q21*R21/(Q21+R21),0)</f>
        <v/>
      </c>
      <c r="T21" s="2">
        <f>IFERROR(H21/(H21+I21),0)</f>
        <v/>
      </c>
      <c r="U21" s="2">
        <f>IFERROR((G21*H21-I21*J21)/SQRT((G21+I21)*(G21+J21)*(H21+I21)*(H21+J21)),0)</f>
        <v/>
      </c>
    </row>
    <row r="22">
      <c r="A22" t="n">
        <v>1</v>
      </c>
      <c r="B22" t="inlineStr">
        <is>
          <t>DecisionTree</t>
        </is>
      </c>
      <c r="C22" t="inlineStr">
        <is>
          <t>train</t>
        </is>
      </c>
      <c r="D22" t="inlineStr">
        <is>
          <t>balanced</t>
        </is>
      </c>
      <c r="E22" t="n">
        <v>744</v>
      </c>
      <c r="F22" t="n">
        <v>186</v>
      </c>
      <c r="G22" t="n">
        <v>186</v>
      </c>
      <c r="H22" t="n">
        <v>558</v>
      </c>
      <c r="I22" t="n">
        <v>0</v>
      </c>
      <c r="J22" t="n">
        <v>0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s="2">
        <f>IFERROR((G22+H22)/(G22+H22+I22+J22),0)</f>
        <v/>
      </c>
      <c r="Q22" s="2">
        <f>IFERROR(G22/(G22+I22),0)</f>
        <v/>
      </c>
      <c r="R22" s="2">
        <f>IFERROR(G22/(G22+J22),0)</f>
        <v/>
      </c>
      <c r="S22" s="2">
        <f>IFERROR(2*Q22*R22/(Q22+R22),0)</f>
        <v/>
      </c>
      <c r="T22" s="2">
        <f>IFERROR(H22/(H22+I22),0)</f>
        <v/>
      </c>
      <c r="U22" s="2">
        <f>IFERROR((G22*H22-I22*J22)/SQRT((G22+I22)*(G22+J22)*(H22+I22)*(H22+J22)),0)</f>
        <v/>
      </c>
    </row>
    <row r="23">
      <c r="A23" t="n">
        <v>1</v>
      </c>
      <c r="B23" t="inlineStr">
        <is>
          <t>DecisionTree</t>
        </is>
      </c>
      <c r="C23" t="inlineStr">
        <is>
          <t>test</t>
        </is>
      </c>
      <c r="D23" t="inlineStr">
        <is>
          <t>balanced</t>
        </is>
      </c>
      <c r="E23" t="n">
        <v>744</v>
      </c>
      <c r="F23" t="n">
        <v>186</v>
      </c>
      <c r="G23" t="n">
        <v>27</v>
      </c>
      <c r="H23" t="n">
        <v>2198</v>
      </c>
      <c r="I23" t="n">
        <v>419</v>
      </c>
      <c r="J23" t="n">
        <v>35</v>
      </c>
      <c r="K23" t="n">
        <v>0.83</v>
      </c>
      <c r="L23" t="n">
        <v>0.06</v>
      </c>
      <c r="M23" t="n">
        <v>0.44</v>
      </c>
      <c r="N23" t="n">
        <v>0.11</v>
      </c>
      <c r="O23" t="n">
        <v>0.64</v>
      </c>
      <c r="P23" s="2">
        <f>IFERROR((G23+H23)/(G23+H23+I23+J23),0)</f>
        <v/>
      </c>
      <c r="Q23" s="2">
        <f>IFERROR(G23/(G23+I23),0)</f>
        <v/>
      </c>
      <c r="R23" s="2">
        <f>IFERROR(G23/(G23+J23),0)</f>
        <v/>
      </c>
      <c r="S23" s="2">
        <f>IFERROR(2*Q23*R23/(Q23+R23),0)</f>
        <v/>
      </c>
      <c r="T23" s="2">
        <f>IFERROR(H23/(H23+I23),0)</f>
        <v/>
      </c>
      <c r="U23" s="2">
        <f>IFERROR((G23*H23-I23*J23)/SQRT((G23+I23)*(G23+J23)*(H23+I23)*(H23+J23)),0)</f>
        <v/>
      </c>
    </row>
    <row r="24">
      <c r="A24" t="n">
        <v>1</v>
      </c>
      <c r="B24" t="inlineStr">
        <is>
          <t>RandomForest</t>
        </is>
      </c>
      <c r="C24" t="inlineStr">
        <is>
          <t>train</t>
        </is>
      </c>
      <c r="D24" t="inlineStr">
        <is>
          <t>balanced</t>
        </is>
      </c>
      <c r="E24" t="n">
        <v>744</v>
      </c>
      <c r="F24" t="n">
        <v>186</v>
      </c>
      <c r="G24" t="n">
        <v>186</v>
      </c>
      <c r="H24" t="n">
        <v>558</v>
      </c>
      <c r="I24" t="n">
        <v>0</v>
      </c>
      <c r="J24" t="n">
        <v>0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s="2">
        <f>IFERROR((G24+H24)/(G24+H24+I24+J24),0)</f>
        <v/>
      </c>
      <c r="Q24" s="2">
        <f>IFERROR(G24/(G24+I24),0)</f>
        <v/>
      </c>
      <c r="R24" s="2">
        <f>IFERROR(G24/(G24+J24),0)</f>
        <v/>
      </c>
      <c r="S24" s="2">
        <f>IFERROR(2*Q24*R24/(Q24+R24),0)</f>
        <v/>
      </c>
      <c r="T24" s="2">
        <f>IFERROR(H24/(H24+I24),0)</f>
        <v/>
      </c>
      <c r="U24" s="2">
        <f>IFERROR((G24*H24-I24*J24)/SQRT((G24+I24)*(G24+J24)*(H24+I24)*(H24+J24)),0)</f>
        <v/>
      </c>
    </row>
    <row r="25">
      <c r="A25" t="n">
        <v>1</v>
      </c>
      <c r="B25" t="inlineStr">
        <is>
          <t>RandomForest</t>
        </is>
      </c>
      <c r="C25" t="inlineStr">
        <is>
          <t>test</t>
        </is>
      </c>
      <c r="D25" t="inlineStr">
        <is>
          <t>balanced</t>
        </is>
      </c>
      <c r="E25" t="n">
        <v>744</v>
      </c>
      <c r="F25" t="n">
        <v>186</v>
      </c>
      <c r="G25" t="n">
        <v>32</v>
      </c>
      <c r="H25" t="n">
        <v>2425</v>
      </c>
      <c r="I25" t="n">
        <v>192</v>
      </c>
      <c r="J25" t="n">
        <v>30</v>
      </c>
      <c r="K25" t="n">
        <v>0.92</v>
      </c>
      <c r="L25" t="n">
        <v>0.14</v>
      </c>
      <c r="M25" t="n">
        <v>0.52</v>
      </c>
      <c r="N25" t="n">
        <v>0.22</v>
      </c>
      <c r="O25" t="n">
        <v>0.85</v>
      </c>
      <c r="P25" s="2">
        <f>IFERROR((G25+H25)/(G25+H25+I25+J25),0)</f>
        <v/>
      </c>
      <c r="Q25" s="2">
        <f>IFERROR(G25/(G25+I25),0)</f>
        <v/>
      </c>
      <c r="R25" s="2">
        <f>IFERROR(G25/(G25+J25),0)</f>
        <v/>
      </c>
      <c r="S25" s="2">
        <f>IFERROR(2*Q25*R25/(Q25+R25),0)</f>
        <v/>
      </c>
      <c r="T25" s="2">
        <f>IFERROR(H25/(H25+I25),0)</f>
        <v/>
      </c>
      <c r="U25" s="2">
        <f>IFERROR((G25*H25-I25*J25)/SQRT((G25+I25)*(G25+J25)*(H25+I25)*(H25+J25)),0)</f>
        <v/>
      </c>
    </row>
    <row r="26">
      <c r="A26" t="n">
        <v>1</v>
      </c>
      <c r="B26" t="inlineStr">
        <is>
          <t>kNN</t>
        </is>
      </c>
      <c r="C26" t="inlineStr">
        <is>
          <t>train</t>
        </is>
      </c>
      <c r="D26" t="inlineStr">
        <is>
          <t>balanced</t>
        </is>
      </c>
      <c r="E26" t="n">
        <v>744</v>
      </c>
      <c r="F26" t="n">
        <v>186</v>
      </c>
      <c r="G26" t="n">
        <v>115</v>
      </c>
      <c r="H26" t="n">
        <v>523</v>
      </c>
      <c r="I26" t="n">
        <v>35</v>
      </c>
      <c r="J26" t="n">
        <v>71</v>
      </c>
      <c r="K26" t="n">
        <v>0.86</v>
      </c>
      <c r="L26" t="n">
        <v>0.77</v>
      </c>
      <c r="M26" t="n">
        <v>0.62</v>
      </c>
      <c r="N26" t="n">
        <v>0.68</v>
      </c>
      <c r="O26" t="n">
        <v>0.92</v>
      </c>
      <c r="P26" s="2">
        <f>IFERROR((G26+H26)/(G26+H26+I26+J26),0)</f>
        <v/>
      </c>
      <c r="Q26" s="2">
        <f>IFERROR(G26/(G26+I26),0)</f>
        <v/>
      </c>
      <c r="R26" s="2">
        <f>IFERROR(G26/(G26+J26),0)</f>
        <v/>
      </c>
      <c r="S26" s="2">
        <f>IFERROR(2*Q26*R26/(Q26+R26),0)</f>
        <v/>
      </c>
      <c r="T26" s="2">
        <f>IFERROR(H26/(H26+I26),0)</f>
        <v/>
      </c>
      <c r="U26" s="2">
        <f>IFERROR((G26*H26-I26*J26)/SQRT((G26+I26)*(G26+J26)*(H26+I26)*(H26+J26)),0)</f>
        <v/>
      </c>
    </row>
    <row r="27">
      <c r="A27" t="n">
        <v>1</v>
      </c>
      <c r="B27" t="inlineStr">
        <is>
          <t>kNN</t>
        </is>
      </c>
      <c r="C27" t="inlineStr">
        <is>
          <t>test</t>
        </is>
      </c>
      <c r="D27" t="inlineStr">
        <is>
          <t>balanced</t>
        </is>
      </c>
      <c r="E27" t="n">
        <v>744</v>
      </c>
      <c r="F27" t="n">
        <v>186</v>
      </c>
      <c r="G27" t="n">
        <v>34</v>
      </c>
      <c r="H27" t="n">
        <v>2331</v>
      </c>
      <c r="I27" t="n">
        <v>286</v>
      </c>
      <c r="J27" t="n">
        <v>28</v>
      </c>
      <c r="K27" t="n">
        <v>0.88</v>
      </c>
      <c r="L27" t="n">
        <v>0.11</v>
      </c>
      <c r="M27" t="n">
        <v>0.55</v>
      </c>
      <c r="N27" t="n">
        <v>0.18</v>
      </c>
      <c r="O27" t="n">
        <v>0.8100000000000001</v>
      </c>
      <c r="P27" s="2">
        <f>IFERROR((G27+H27)/(G27+H27+I27+J27),0)</f>
        <v/>
      </c>
      <c r="Q27" s="2">
        <f>IFERROR(G27/(G27+I27),0)</f>
        <v/>
      </c>
      <c r="R27" s="2">
        <f>IFERROR(G27/(G27+J27),0)</f>
        <v/>
      </c>
      <c r="S27" s="2">
        <f>IFERROR(2*Q27*R27/(Q27+R27),0)</f>
        <v/>
      </c>
      <c r="T27" s="2">
        <f>IFERROR(H27/(H27+I27),0)</f>
        <v/>
      </c>
      <c r="U27" s="2">
        <f>IFERROR((G27*H27-I27*J27)/SQRT((G27+I27)*(G27+J27)*(H27+I27)*(H27+J27)),0)</f>
        <v/>
      </c>
    </row>
    <row r="28">
      <c r="A28" t="n">
        <v>1</v>
      </c>
      <c r="B28" t="inlineStr">
        <is>
          <t>NaiveBayes</t>
        </is>
      </c>
      <c r="C28" t="inlineStr">
        <is>
          <t>train</t>
        </is>
      </c>
      <c r="D28" t="inlineStr">
        <is>
          <t>balanced</t>
        </is>
      </c>
      <c r="E28" t="n">
        <v>744</v>
      </c>
      <c r="F28" t="n">
        <v>186</v>
      </c>
      <c r="G28" t="n">
        <v>85</v>
      </c>
      <c r="H28" t="n">
        <v>495</v>
      </c>
      <c r="I28" t="n">
        <v>63</v>
      </c>
      <c r="J28" t="n">
        <v>101</v>
      </c>
      <c r="K28" t="n">
        <v>0.78</v>
      </c>
      <c r="L28" t="n">
        <v>0.57</v>
      </c>
      <c r="M28" t="n">
        <v>0.46</v>
      </c>
      <c r="N28" t="n">
        <v>0.51</v>
      </c>
      <c r="O28" t="n">
        <v>0.83</v>
      </c>
      <c r="P28" s="2">
        <f>IFERROR((G28+H28)/(G28+H28+I28+J28),0)</f>
        <v/>
      </c>
      <c r="Q28" s="2">
        <f>IFERROR(G28/(G28+I28),0)</f>
        <v/>
      </c>
      <c r="R28" s="2">
        <f>IFERROR(G28/(G28+J28),0)</f>
        <v/>
      </c>
      <c r="S28" s="2">
        <f>IFERROR(2*Q28*R28/(Q28+R28),0)</f>
        <v/>
      </c>
      <c r="T28" s="2">
        <f>IFERROR(H28/(H28+I28),0)</f>
        <v/>
      </c>
      <c r="U28" s="2">
        <f>IFERROR((G28*H28-I28*J28)/SQRT((G28+I28)*(G28+J28)*(H28+I28)*(H28+J28)),0)</f>
        <v/>
      </c>
    </row>
    <row r="29">
      <c r="A29" t="n">
        <v>1</v>
      </c>
      <c r="B29" t="inlineStr">
        <is>
          <t>NaiveBayes</t>
        </is>
      </c>
      <c r="C29" t="inlineStr">
        <is>
          <t>test</t>
        </is>
      </c>
      <c r="D29" t="inlineStr">
        <is>
          <t>balanced</t>
        </is>
      </c>
      <c r="E29" t="n">
        <v>744</v>
      </c>
      <c r="F29" t="n">
        <v>186</v>
      </c>
      <c r="G29" t="n">
        <v>29</v>
      </c>
      <c r="H29" t="n">
        <v>2353</v>
      </c>
      <c r="I29" t="n">
        <v>264</v>
      </c>
      <c r="J29" t="n">
        <v>33</v>
      </c>
      <c r="K29" t="n">
        <v>0.89</v>
      </c>
      <c r="L29" t="n">
        <v>0.1</v>
      </c>
      <c r="M29" t="n">
        <v>0.47</v>
      </c>
      <c r="N29" t="n">
        <v>0.16</v>
      </c>
      <c r="O29" t="n">
        <v>0.82</v>
      </c>
      <c r="P29" s="2">
        <f>IFERROR((G29+H29)/(G29+H29+I29+J29),0)</f>
        <v/>
      </c>
      <c r="Q29" s="2">
        <f>IFERROR(G29/(G29+I29),0)</f>
        <v/>
      </c>
      <c r="R29" s="2">
        <f>IFERROR(G29/(G29+J29),0)</f>
        <v/>
      </c>
      <c r="S29" s="2">
        <f>IFERROR(2*Q29*R29/(Q29+R29),0)</f>
        <v/>
      </c>
      <c r="T29" s="2">
        <f>IFERROR(H29/(H29+I29),0)</f>
        <v/>
      </c>
      <c r="U29" s="2">
        <f>IFERROR((G29*H29-I29*J29)/SQRT((G29+I29)*(G29+J29)*(H29+I29)*(H29+J29)),0)</f>
        <v/>
      </c>
    </row>
    <row r="30">
      <c r="A30" t="n">
        <v>1</v>
      </c>
      <c r="B30" t="inlineStr">
        <is>
          <t>SVM</t>
        </is>
      </c>
      <c r="C30" t="inlineStr">
        <is>
          <t>train</t>
        </is>
      </c>
      <c r="D30" t="inlineStr">
        <is>
          <t>balanced</t>
        </is>
      </c>
      <c r="E30" t="n">
        <v>744</v>
      </c>
      <c r="F30" t="n">
        <v>186</v>
      </c>
      <c r="G30" t="n">
        <v>77</v>
      </c>
      <c r="H30" t="n">
        <v>538</v>
      </c>
      <c r="I30" t="n">
        <v>20</v>
      </c>
      <c r="J30" t="n">
        <v>109</v>
      </c>
      <c r="K30" t="n">
        <v>0.83</v>
      </c>
      <c r="L30" t="n">
        <v>0.79</v>
      </c>
      <c r="M30" t="n">
        <v>0.41</v>
      </c>
      <c r="N30" t="n">
        <v>0.54</v>
      </c>
      <c r="O30" t="n">
        <v>0.89</v>
      </c>
      <c r="P30" s="2">
        <f>IFERROR((G30+H30)/(G30+H30+I30+J30),0)</f>
        <v/>
      </c>
      <c r="Q30" s="2">
        <f>IFERROR(G30/(G30+I30),0)</f>
        <v/>
      </c>
      <c r="R30" s="2">
        <f>IFERROR(G30/(G30+J30),0)</f>
        <v/>
      </c>
      <c r="S30" s="2">
        <f>IFERROR(2*Q30*R30/(Q30+R30),0)</f>
        <v/>
      </c>
      <c r="T30" s="2">
        <f>IFERROR(H30/(H30+I30),0)</f>
        <v/>
      </c>
      <c r="U30" s="2">
        <f>IFERROR((G30*H30-I30*J30)/SQRT((G30+I30)*(G30+J30)*(H30+I30)*(H30+J30)),0)</f>
        <v/>
      </c>
    </row>
    <row r="31">
      <c r="A31" t="n">
        <v>1</v>
      </c>
      <c r="B31" t="inlineStr">
        <is>
          <t>SVM</t>
        </is>
      </c>
      <c r="C31" t="inlineStr">
        <is>
          <t>test</t>
        </is>
      </c>
      <c r="D31" t="inlineStr">
        <is>
          <t>balanced</t>
        </is>
      </c>
      <c r="E31" t="n">
        <v>744</v>
      </c>
      <c r="F31" t="n">
        <v>186</v>
      </c>
      <c r="G31" t="n">
        <v>23</v>
      </c>
      <c r="H31" t="n">
        <v>2490</v>
      </c>
      <c r="I31" t="n">
        <v>127</v>
      </c>
      <c r="J31" t="n">
        <v>39</v>
      </c>
      <c r="K31" t="n">
        <v>0.9399999999999999</v>
      </c>
      <c r="L31" t="n">
        <v>0.15</v>
      </c>
      <c r="M31" t="n">
        <v>0.37</v>
      </c>
      <c r="N31" t="n">
        <v>0.22</v>
      </c>
      <c r="O31" t="n">
        <v>0.85</v>
      </c>
      <c r="P31" s="2">
        <f>IFERROR((G31+H31)/(G31+H31+I31+J31),0)</f>
        <v/>
      </c>
      <c r="Q31" s="2">
        <f>IFERROR(G31/(G31+I31),0)</f>
        <v/>
      </c>
      <c r="R31" s="2">
        <f>IFERROR(G31/(G31+J31),0)</f>
        <v/>
      </c>
      <c r="S31" s="2">
        <f>IFERROR(2*Q31*R31/(Q31+R31),0)</f>
        <v/>
      </c>
      <c r="T31" s="2">
        <f>IFERROR(H31/(H31+I31),0)</f>
        <v/>
      </c>
      <c r="U31" s="2">
        <f>IFERROR((G31*H31-I31*J31)/SQRT((G31+I31)*(G31+J31)*(H31+I31)*(H31+J31)),0)</f>
        <v/>
      </c>
    </row>
    <row r="32">
      <c r="A32" t="n">
        <v>1</v>
      </c>
      <c r="B32" t="inlineStr">
        <is>
          <t>GradientBoosting</t>
        </is>
      </c>
      <c r="C32" t="inlineStr">
        <is>
          <t>train</t>
        </is>
      </c>
      <c r="D32" t="inlineStr">
        <is>
          <t>balanced</t>
        </is>
      </c>
      <c r="E32" t="n">
        <v>744</v>
      </c>
      <c r="F32" t="n">
        <v>186</v>
      </c>
      <c r="G32" t="n">
        <v>152</v>
      </c>
      <c r="H32" t="n">
        <v>553</v>
      </c>
      <c r="I32" t="n">
        <v>5</v>
      </c>
      <c r="J32" t="n">
        <v>34</v>
      </c>
      <c r="K32" t="n">
        <v>0.95</v>
      </c>
      <c r="L32" t="n">
        <v>0.97</v>
      </c>
      <c r="M32" t="n">
        <v>0.82</v>
      </c>
      <c r="N32" t="n">
        <v>0.89</v>
      </c>
      <c r="O32" t="n">
        <v>0.99</v>
      </c>
      <c r="P32" s="2">
        <f>IFERROR((G32+H32)/(G32+H32+I32+J32),0)</f>
        <v/>
      </c>
      <c r="Q32" s="2">
        <f>IFERROR(G32/(G32+I32),0)</f>
        <v/>
      </c>
      <c r="R32" s="2">
        <f>IFERROR(G32/(G32+J32),0)</f>
        <v/>
      </c>
      <c r="S32" s="2">
        <f>IFERROR(2*Q32*R32/(Q32+R32),0)</f>
        <v/>
      </c>
      <c r="T32" s="2">
        <f>IFERROR(H32/(H32+I32),0)</f>
        <v/>
      </c>
      <c r="U32" s="2">
        <f>IFERROR((G32*H32-I32*J32)/SQRT((G32+I32)*(G32+J32)*(H32+I32)*(H32+J32)),0)</f>
        <v/>
      </c>
    </row>
    <row r="33">
      <c r="A33" t="n">
        <v>1</v>
      </c>
      <c r="B33" t="inlineStr">
        <is>
          <t>GradientBoosting</t>
        </is>
      </c>
      <c r="C33" t="inlineStr">
        <is>
          <t>test</t>
        </is>
      </c>
      <c r="D33" t="inlineStr">
        <is>
          <t>balanced</t>
        </is>
      </c>
      <c r="E33" t="n">
        <v>744</v>
      </c>
      <c r="F33" t="n">
        <v>186</v>
      </c>
      <c r="G33" t="n">
        <v>33</v>
      </c>
      <c r="H33" t="n">
        <v>2384</v>
      </c>
      <c r="I33" t="n">
        <v>233</v>
      </c>
      <c r="J33" t="n">
        <v>29</v>
      </c>
      <c r="K33" t="n">
        <v>0.9</v>
      </c>
      <c r="L33" t="n">
        <v>0.12</v>
      </c>
      <c r="M33" t="n">
        <v>0.53</v>
      </c>
      <c r="N33" t="n">
        <v>0.2</v>
      </c>
      <c r="O33" t="n">
        <v>0.83</v>
      </c>
      <c r="P33" s="2">
        <f>IFERROR((G33+H33)/(G33+H33+I33+J33),0)</f>
        <v/>
      </c>
      <c r="Q33" s="2">
        <f>IFERROR(G33/(G33+I33),0)</f>
        <v/>
      </c>
      <c r="R33" s="2">
        <f>IFERROR(G33/(G33+J33),0)</f>
        <v/>
      </c>
      <c r="S33" s="2">
        <f>IFERROR(2*Q33*R33/(Q33+R33),0)</f>
        <v/>
      </c>
      <c r="T33" s="2">
        <f>IFERROR(H33/(H33+I33),0)</f>
        <v/>
      </c>
      <c r="U33" s="2">
        <f>IFERROR((G33*H33-I33*J33)/SQRT((G33+I33)*(G33+J33)*(H33+I33)*(H33+J33)),0)</f>
        <v/>
      </c>
    </row>
    <row r="34">
      <c r="A34" t="n">
        <v>2</v>
      </c>
      <c r="B34" t="inlineStr">
        <is>
          <t>LDA</t>
        </is>
      </c>
      <c r="C34" t="inlineStr">
        <is>
          <t>train</t>
        </is>
      </c>
      <c r="D34" t="inlineStr">
        <is>
          <t>unbalanced</t>
        </is>
      </c>
      <c r="E34" t="n">
        <v>8037</v>
      </c>
      <c r="F34" t="n">
        <v>186</v>
      </c>
      <c r="G34" t="n">
        <v>5</v>
      </c>
      <c r="H34" t="n">
        <v>7790</v>
      </c>
      <c r="I34" t="n">
        <v>61</v>
      </c>
      <c r="J34" t="n">
        <v>181</v>
      </c>
      <c r="K34" t="n">
        <v>0.97</v>
      </c>
      <c r="L34" t="n">
        <v>0.08</v>
      </c>
      <c r="M34" t="n">
        <v>0.03</v>
      </c>
      <c r="N34" t="n">
        <v>0.04</v>
      </c>
      <c r="O34" t="n">
        <v>0.83</v>
      </c>
      <c r="P34" s="2">
        <f>IFERROR((G34+H34)/(G34+H34+I34+J34),0)</f>
        <v/>
      </c>
      <c r="Q34" s="2">
        <f>IFERROR(G34/(G34+I34),0)</f>
        <v/>
      </c>
      <c r="R34" s="2">
        <f>IFERROR(G34/(G34+J34),0)</f>
        <v/>
      </c>
      <c r="S34" s="2">
        <f>IFERROR(2*Q34*R34/(Q34+R34),0)</f>
        <v/>
      </c>
      <c r="T34" s="2">
        <f>IFERROR(H34/(H34+I34),0)</f>
        <v/>
      </c>
      <c r="U34" s="2">
        <f>IFERROR((G34*H34-I34*J34)/SQRT((G34+I34)*(G34+J34)*(H34+I34)*(H34+J34)),0)</f>
        <v/>
      </c>
    </row>
    <row r="35">
      <c r="A35" t="n">
        <v>2</v>
      </c>
      <c r="B35" t="inlineStr">
        <is>
          <t>LDA</t>
        </is>
      </c>
      <c r="C35" t="inlineStr">
        <is>
          <t>test</t>
        </is>
      </c>
      <c r="D35" t="inlineStr">
        <is>
          <t>unbalanced</t>
        </is>
      </c>
      <c r="E35" t="n">
        <v>8037</v>
      </c>
      <c r="F35" t="n">
        <v>186</v>
      </c>
      <c r="G35" t="n">
        <v>3</v>
      </c>
      <c r="H35" t="n">
        <v>2591</v>
      </c>
      <c r="I35" t="n">
        <v>26</v>
      </c>
      <c r="J35" t="n">
        <v>59</v>
      </c>
      <c r="K35" t="n">
        <v>0.97</v>
      </c>
      <c r="L35" t="n">
        <v>0.1</v>
      </c>
      <c r="M35" t="n">
        <v>0.05</v>
      </c>
      <c r="N35" t="n">
        <v>0.07000000000000001</v>
      </c>
      <c r="O35" t="n">
        <v>0.88</v>
      </c>
      <c r="P35" s="2">
        <f>IFERROR((G35+H35)/(G35+H35+I35+J35),0)</f>
        <v/>
      </c>
      <c r="Q35" s="2">
        <f>IFERROR(G35/(G35+I35),0)</f>
        <v/>
      </c>
      <c r="R35" s="2">
        <f>IFERROR(G35/(G35+J35),0)</f>
        <v/>
      </c>
      <c r="S35" s="2">
        <f>IFERROR(2*Q35*R35/(Q35+R35),0)</f>
        <v/>
      </c>
      <c r="T35" s="2">
        <f>IFERROR(H35/(H35+I35),0)</f>
        <v/>
      </c>
      <c r="U35" s="2">
        <f>IFERROR((G35*H35-I35*J35)/SQRT((G35+I35)*(G35+J35)*(H35+I35)*(H35+J35)),0)</f>
        <v/>
      </c>
    </row>
    <row r="36">
      <c r="A36" t="n">
        <v>2</v>
      </c>
      <c r="B36" t="inlineStr">
        <is>
          <t>LogisticRegression</t>
        </is>
      </c>
      <c r="C36" t="inlineStr">
        <is>
          <t>train</t>
        </is>
      </c>
      <c r="D36" t="inlineStr">
        <is>
          <t>unbalanced</t>
        </is>
      </c>
      <c r="E36" t="n">
        <v>8037</v>
      </c>
      <c r="F36" t="n">
        <v>186</v>
      </c>
      <c r="G36" t="n">
        <v>0</v>
      </c>
      <c r="H36" t="n">
        <v>7851</v>
      </c>
      <c r="I36" t="n">
        <v>0</v>
      </c>
      <c r="J36" t="n">
        <v>186</v>
      </c>
      <c r="K36" t="n">
        <v>0.98</v>
      </c>
      <c r="L36" t="n">
        <v>0</v>
      </c>
      <c r="M36" t="n">
        <v>0</v>
      </c>
      <c r="N36" t="n">
        <v>0</v>
      </c>
      <c r="O36" t="n">
        <v>0.83</v>
      </c>
      <c r="P36" s="2">
        <f>IFERROR((G36+H36)/(G36+H36+I36+J36),0)</f>
        <v/>
      </c>
      <c r="Q36" s="2">
        <f>IFERROR(G36/(G36+I36),0)</f>
        <v/>
      </c>
      <c r="R36" s="2">
        <f>IFERROR(G36/(G36+J36),0)</f>
        <v/>
      </c>
      <c r="S36" s="2">
        <f>IFERROR(2*Q36*R36/(Q36+R36),0)</f>
        <v/>
      </c>
      <c r="T36" s="2">
        <f>IFERROR(H36/(H36+I36),0)</f>
        <v/>
      </c>
      <c r="U36" s="2">
        <f>IFERROR((G36*H36-I36*J36)/SQRT((G36+I36)*(G36+J36)*(H36+I36)*(H36+J36)),0)</f>
        <v/>
      </c>
    </row>
    <row r="37">
      <c r="A37" t="n">
        <v>2</v>
      </c>
      <c r="B37" t="inlineStr">
        <is>
          <t>LogisticRegression</t>
        </is>
      </c>
      <c r="C37" t="inlineStr">
        <is>
          <t>test</t>
        </is>
      </c>
      <c r="D37" t="inlineStr">
        <is>
          <t>unbalanced</t>
        </is>
      </c>
      <c r="E37" t="n">
        <v>8037</v>
      </c>
      <c r="F37" t="n">
        <v>186</v>
      </c>
      <c r="G37" t="n">
        <v>0</v>
      </c>
      <c r="H37" t="n">
        <v>2617</v>
      </c>
      <c r="I37" t="n">
        <v>0</v>
      </c>
      <c r="J37" t="n">
        <v>62</v>
      </c>
      <c r="K37" t="n">
        <v>0.98</v>
      </c>
      <c r="L37" t="n">
        <v>0</v>
      </c>
      <c r="M37" t="n">
        <v>0</v>
      </c>
      <c r="N37" t="n">
        <v>0</v>
      </c>
      <c r="O37" t="n">
        <v>0.86</v>
      </c>
      <c r="P37" s="2">
        <f>IFERROR((G37+H37)/(G37+H37+I37+J37),0)</f>
        <v/>
      </c>
      <c r="Q37" s="2">
        <f>IFERROR(G37/(G37+I37),0)</f>
        <v/>
      </c>
      <c r="R37" s="2">
        <f>IFERROR(G37/(G37+J37),0)</f>
        <v/>
      </c>
      <c r="S37" s="2">
        <f>IFERROR(2*Q37*R37/(Q37+R37),0)</f>
        <v/>
      </c>
      <c r="T37" s="2">
        <f>IFERROR(H37/(H37+I37),0)</f>
        <v/>
      </c>
      <c r="U37" s="2">
        <f>IFERROR((G37*H37-I37*J37)/SQRT((G37+I37)*(G37+J37)*(H37+I37)*(H37+J37)),0)</f>
        <v/>
      </c>
    </row>
    <row r="38">
      <c r="A38" t="n">
        <v>2</v>
      </c>
      <c r="B38" t="inlineStr">
        <is>
          <t>DecisionTree</t>
        </is>
      </c>
      <c r="C38" t="inlineStr">
        <is>
          <t>train</t>
        </is>
      </c>
      <c r="D38" t="inlineStr">
        <is>
          <t>unbalanced</t>
        </is>
      </c>
      <c r="E38" t="n">
        <v>8037</v>
      </c>
      <c r="F38" t="n">
        <v>186</v>
      </c>
      <c r="G38" t="n">
        <v>186</v>
      </c>
      <c r="H38" t="n">
        <v>7851</v>
      </c>
      <c r="I38" t="n">
        <v>0</v>
      </c>
      <c r="J38" t="n">
        <v>0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s="2">
        <f>IFERROR((G38+H38)/(G38+H38+I38+J38),0)</f>
        <v/>
      </c>
      <c r="Q38" s="2">
        <f>IFERROR(G38/(G38+I38),0)</f>
        <v/>
      </c>
      <c r="R38" s="2">
        <f>IFERROR(G38/(G38+J38),0)</f>
        <v/>
      </c>
      <c r="S38" s="2">
        <f>IFERROR(2*Q38*R38/(Q38+R38),0)</f>
        <v/>
      </c>
      <c r="T38" s="2">
        <f>IFERROR(H38/(H38+I38),0)</f>
        <v/>
      </c>
      <c r="U38" s="2">
        <f>IFERROR((G38*H38-I38*J38)/SQRT((G38+I38)*(G38+J38)*(H38+I38)*(H38+J38)),0)</f>
        <v/>
      </c>
    </row>
    <row r="39">
      <c r="A39" t="n">
        <v>2</v>
      </c>
      <c r="B39" t="inlineStr">
        <is>
          <t>DecisionTree</t>
        </is>
      </c>
      <c r="C39" t="inlineStr">
        <is>
          <t>test</t>
        </is>
      </c>
      <c r="D39" t="inlineStr">
        <is>
          <t>unbalanced</t>
        </is>
      </c>
      <c r="E39" t="n">
        <v>8037</v>
      </c>
      <c r="F39" t="n">
        <v>186</v>
      </c>
      <c r="G39" t="n">
        <v>11</v>
      </c>
      <c r="H39" t="n">
        <v>2563</v>
      </c>
      <c r="I39" t="n">
        <v>54</v>
      </c>
      <c r="J39" t="n">
        <v>51</v>
      </c>
      <c r="K39" t="n">
        <v>0.96</v>
      </c>
      <c r="L39" t="n">
        <v>0.17</v>
      </c>
      <c r="M39" t="n">
        <v>0.18</v>
      </c>
      <c r="N39" t="n">
        <v>0.17</v>
      </c>
      <c r="O39" t="n">
        <v>0.58</v>
      </c>
      <c r="P39" s="2">
        <f>IFERROR((G39+H39)/(G39+H39+I39+J39),0)</f>
        <v/>
      </c>
      <c r="Q39" s="2">
        <f>IFERROR(G39/(G39+I39),0)</f>
        <v/>
      </c>
      <c r="R39" s="2">
        <f>IFERROR(G39/(G39+J39),0)</f>
        <v/>
      </c>
      <c r="S39" s="2">
        <f>IFERROR(2*Q39*R39/(Q39+R39),0)</f>
        <v/>
      </c>
      <c r="T39" s="2">
        <f>IFERROR(H39/(H39+I39),0)</f>
        <v/>
      </c>
      <c r="U39" s="2">
        <f>IFERROR((G39*H39-I39*J39)/SQRT((G39+I39)*(G39+J39)*(H39+I39)*(H39+J39)),0)</f>
        <v/>
      </c>
    </row>
    <row r="40">
      <c r="A40" t="n">
        <v>2</v>
      </c>
      <c r="B40" t="inlineStr">
        <is>
          <t>RandomForest</t>
        </is>
      </c>
      <c r="C40" t="inlineStr">
        <is>
          <t>train</t>
        </is>
      </c>
      <c r="D40" t="inlineStr">
        <is>
          <t>unbalanced</t>
        </is>
      </c>
      <c r="E40" t="n">
        <v>8037</v>
      </c>
      <c r="F40" t="n">
        <v>186</v>
      </c>
      <c r="G40" t="n">
        <v>186</v>
      </c>
      <c r="H40" t="n">
        <v>7851</v>
      </c>
      <c r="I40" t="n">
        <v>0</v>
      </c>
      <c r="J40" t="n">
        <v>0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s="2">
        <f>IFERROR((G40+H40)/(G40+H40+I40+J40),0)</f>
        <v/>
      </c>
      <c r="Q40" s="2">
        <f>IFERROR(G40/(G40+I40),0)</f>
        <v/>
      </c>
      <c r="R40" s="2">
        <f>IFERROR(G40/(G40+J40),0)</f>
        <v/>
      </c>
      <c r="S40" s="2">
        <f>IFERROR(2*Q40*R40/(Q40+R40),0)</f>
        <v/>
      </c>
      <c r="T40" s="2">
        <f>IFERROR(H40/(H40+I40),0)</f>
        <v/>
      </c>
      <c r="U40" s="2">
        <f>IFERROR((G40*H40-I40*J40)/SQRT((G40+I40)*(G40+J40)*(H40+I40)*(H40+J40)),0)</f>
        <v/>
      </c>
    </row>
    <row r="41">
      <c r="A41" t="n">
        <v>2</v>
      </c>
      <c r="B41" t="inlineStr">
        <is>
          <t>RandomForest</t>
        </is>
      </c>
      <c r="C41" t="inlineStr">
        <is>
          <t>test</t>
        </is>
      </c>
      <c r="D41" t="inlineStr">
        <is>
          <t>unbalanced</t>
        </is>
      </c>
      <c r="E41" t="n">
        <v>8037</v>
      </c>
      <c r="F41" t="n">
        <v>186</v>
      </c>
      <c r="G41" t="n">
        <v>0</v>
      </c>
      <c r="H41" t="n">
        <v>2617</v>
      </c>
      <c r="I41" t="n">
        <v>0</v>
      </c>
      <c r="J41" t="n">
        <v>62</v>
      </c>
      <c r="K41" t="n">
        <v>0.98</v>
      </c>
      <c r="L41" t="n">
        <v>0</v>
      </c>
      <c r="M41" t="n">
        <v>0</v>
      </c>
      <c r="N41" t="n">
        <v>0</v>
      </c>
      <c r="O41" t="n">
        <v>0.89</v>
      </c>
      <c r="P41" s="2">
        <f>IFERROR((G41+H41)/(G41+H41+I41+J41),0)</f>
        <v/>
      </c>
      <c r="Q41" s="2">
        <f>IFERROR(G41/(G41+I41),0)</f>
        <v/>
      </c>
      <c r="R41" s="2">
        <f>IFERROR(G41/(G41+J41),0)</f>
        <v/>
      </c>
      <c r="S41" s="2">
        <f>IFERROR(2*Q41*R41/(Q41+R41),0)</f>
        <v/>
      </c>
      <c r="T41" s="2">
        <f>IFERROR(H41/(H41+I41),0)</f>
        <v/>
      </c>
      <c r="U41" s="2">
        <f>IFERROR((G41*H41-I41*J41)/SQRT((G41+I41)*(G41+J41)*(H41+I41)*(H41+J41)),0)</f>
        <v/>
      </c>
    </row>
    <row r="42">
      <c r="A42" t="n">
        <v>2</v>
      </c>
      <c r="B42" t="inlineStr">
        <is>
          <t>kNN</t>
        </is>
      </c>
      <c r="C42" t="inlineStr">
        <is>
          <t>train</t>
        </is>
      </c>
      <c r="D42" t="inlineStr">
        <is>
          <t>unbalanced</t>
        </is>
      </c>
      <c r="E42" t="n">
        <v>8037</v>
      </c>
      <c r="F42" t="n">
        <v>186</v>
      </c>
      <c r="G42" t="n">
        <v>22</v>
      </c>
      <c r="H42" t="n">
        <v>7847</v>
      </c>
      <c r="I42" t="n">
        <v>4</v>
      </c>
      <c r="J42" t="n">
        <v>164</v>
      </c>
      <c r="K42" t="n">
        <v>0.98</v>
      </c>
      <c r="L42" t="n">
        <v>0.85</v>
      </c>
      <c r="M42" t="n">
        <v>0.12</v>
      </c>
      <c r="N42" t="n">
        <v>0.21</v>
      </c>
      <c r="O42" t="n">
        <v>0.98</v>
      </c>
      <c r="P42" s="2">
        <f>IFERROR((G42+H42)/(G42+H42+I42+J42),0)</f>
        <v/>
      </c>
      <c r="Q42" s="2">
        <f>IFERROR(G42/(G42+I42),0)</f>
        <v/>
      </c>
      <c r="R42" s="2">
        <f>IFERROR(G42/(G42+J42),0)</f>
        <v/>
      </c>
      <c r="S42" s="2">
        <f>IFERROR(2*Q42*R42/(Q42+R42),0)</f>
        <v/>
      </c>
      <c r="T42" s="2">
        <f>IFERROR(H42/(H42+I42),0)</f>
        <v/>
      </c>
      <c r="U42" s="2">
        <f>IFERROR((G42*H42-I42*J42)/SQRT((G42+I42)*(G42+J42)*(H42+I42)*(H42+J42)),0)</f>
        <v/>
      </c>
    </row>
    <row r="43">
      <c r="A43" t="n">
        <v>2</v>
      </c>
      <c r="B43" t="inlineStr">
        <is>
          <t>kNN</t>
        </is>
      </c>
      <c r="C43" t="inlineStr">
        <is>
          <t>test</t>
        </is>
      </c>
      <c r="D43" t="inlineStr">
        <is>
          <t>unbalanced</t>
        </is>
      </c>
      <c r="E43" t="n">
        <v>8037</v>
      </c>
      <c r="F43" t="n">
        <v>186</v>
      </c>
      <c r="G43" t="n">
        <v>3</v>
      </c>
      <c r="H43" t="n">
        <v>2613</v>
      </c>
      <c r="I43" t="n">
        <v>4</v>
      </c>
      <c r="J43" t="n">
        <v>59</v>
      </c>
      <c r="K43" t="n">
        <v>0.98</v>
      </c>
      <c r="L43" t="n">
        <v>0.43</v>
      </c>
      <c r="M43" t="n">
        <v>0.05</v>
      </c>
      <c r="N43" t="n">
        <v>0.09</v>
      </c>
      <c r="O43" t="n">
        <v>0.67</v>
      </c>
      <c r="P43" s="2">
        <f>IFERROR((G43+H43)/(G43+H43+I43+J43),0)</f>
        <v/>
      </c>
      <c r="Q43" s="2">
        <f>IFERROR(G43/(G43+I43),0)</f>
        <v/>
      </c>
      <c r="R43" s="2">
        <f>IFERROR(G43/(G43+J43),0)</f>
        <v/>
      </c>
      <c r="S43" s="2">
        <f>IFERROR(2*Q43*R43/(Q43+R43),0)</f>
        <v/>
      </c>
      <c r="T43" s="2">
        <f>IFERROR(H43/(H43+I43),0)</f>
        <v/>
      </c>
      <c r="U43" s="2">
        <f>IFERROR((G43*H43-I43*J43)/SQRT((G43+I43)*(G43+J43)*(H43+I43)*(H43+J43)),0)</f>
        <v/>
      </c>
    </row>
    <row r="44">
      <c r="A44" t="n">
        <v>2</v>
      </c>
      <c r="B44" t="inlineStr">
        <is>
          <t>NaiveBayes</t>
        </is>
      </c>
      <c r="C44" t="inlineStr">
        <is>
          <t>train</t>
        </is>
      </c>
      <c r="D44" t="inlineStr">
        <is>
          <t>unbalanced</t>
        </is>
      </c>
      <c r="E44" t="n">
        <v>8037</v>
      </c>
      <c r="F44" t="n">
        <v>186</v>
      </c>
      <c r="G44" t="n">
        <v>46</v>
      </c>
      <c r="H44" t="n">
        <v>7409</v>
      </c>
      <c r="I44" t="n">
        <v>442</v>
      </c>
      <c r="J44" t="n">
        <v>140</v>
      </c>
      <c r="K44" t="n">
        <v>0.93</v>
      </c>
      <c r="L44" t="n">
        <v>0.09</v>
      </c>
      <c r="M44" t="n">
        <v>0.25</v>
      </c>
      <c r="N44" t="n">
        <v>0.14</v>
      </c>
      <c r="O44" t="n">
        <v>0.82</v>
      </c>
      <c r="P44" s="2">
        <f>IFERROR((G44+H44)/(G44+H44+I44+J44),0)</f>
        <v/>
      </c>
      <c r="Q44" s="2">
        <f>IFERROR(G44/(G44+I44),0)</f>
        <v/>
      </c>
      <c r="R44" s="2">
        <f>IFERROR(G44/(G44+J44),0)</f>
        <v/>
      </c>
      <c r="S44" s="2">
        <f>IFERROR(2*Q44*R44/(Q44+R44),0)</f>
        <v/>
      </c>
      <c r="T44" s="2">
        <f>IFERROR(H44/(H44+I44),0)</f>
        <v/>
      </c>
      <c r="U44" s="2">
        <f>IFERROR((G44*H44-I44*J44)/SQRT((G44+I44)*(G44+J44)*(H44+I44)*(H44+J44)),0)</f>
        <v/>
      </c>
    </row>
    <row r="45">
      <c r="A45" t="n">
        <v>2</v>
      </c>
      <c r="B45" t="inlineStr">
        <is>
          <t>NaiveBayes</t>
        </is>
      </c>
      <c r="C45" t="inlineStr">
        <is>
          <t>test</t>
        </is>
      </c>
      <c r="D45" t="inlineStr">
        <is>
          <t>unbalanced</t>
        </is>
      </c>
      <c r="E45" t="n">
        <v>8037</v>
      </c>
      <c r="F45" t="n">
        <v>186</v>
      </c>
      <c r="G45" t="n">
        <v>16</v>
      </c>
      <c r="H45" t="n">
        <v>2478</v>
      </c>
      <c r="I45" t="n">
        <v>139</v>
      </c>
      <c r="J45" t="n">
        <v>46</v>
      </c>
      <c r="K45" t="n">
        <v>0.93</v>
      </c>
      <c r="L45" t="n">
        <v>0.1</v>
      </c>
      <c r="M45" t="n">
        <v>0.26</v>
      </c>
      <c r="N45" t="n">
        <v>0.15</v>
      </c>
      <c r="O45" t="n">
        <v>0.84</v>
      </c>
      <c r="P45" s="2">
        <f>IFERROR((G45+H45)/(G45+H45+I45+J45),0)</f>
        <v/>
      </c>
      <c r="Q45" s="2">
        <f>IFERROR(G45/(G45+I45),0)</f>
        <v/>
      </c>
      <c r="R45" s="2">
        <f>IFERROR(G45/(G45+J45),0)</f>
        <v/>
      </c>
      <c r="S45" s="2">
        <f>IFERROR(2*Q45*R45/(Q45+R45),0)</f>
        <v/>
      </c>
      <c r="T45" s="2">
        <f>IFERROR(H45/(H45+I45),0)</f>
        <v/>
      </c>
      <c r="U45" s="2">
        <f>IFERROR((G45*H45-I45*J45)/SQRT((G45+I45)*(G45+J45)*(H45+I45)*(H45+J45)),0)</f>
        <v/>
      </c>
    </row>
    <row r="46">
      <c r="A46" t="n">
        <v>2</v>
      </c>
      <c r="B46" t="inlineStr">
        <is>
          <t>SVM</t>
        </is>
      </c>
      <c r="C46" t="inlineStr">
        <is>
          <t>train</t>
        </is>
      </c>
      <c r="D46" t="inlineStr">
        <is>
          <t>unbalanced</t>
        </is>
      </c>
      <c r="E46" t="n">
        <v>8037</v>
      </c>
      <c r="F46" t="n">
        <v>186</v>
      </c>
      <c r="G46" t="n">
        <v>0</v>
      </c>
      <c r="H46" t="n">
        <v>7851</v>
      </c>
      <c r="I46" t="n">
        <v>0</v>
      </c>
      <c r="J46" t="n">
        <v>186</v>
      </c>
      <c r="K46" t="n">
        <v>0.98</v>
      </c>
      <c r="L46" t="n">
        <v>0</v>
      </c>
      <c r="M46" t="n">
        <v>0</v>
      </c>
      <c r="N46" t="n">
        <v>0</v>
      </c>
      <c r="O46" t="n">
        <v>0.9</v>
      </c>
      <c r="P46" s="2">
        <f>IFERROR((G46+H46)/(G46+H46+I46+J46),0)</f>
        <v/>
      </c>
      <c r="Q46" s="2">
        <f>IFERROR(G46/(G46+I46),0)</f>
        <v/>
      </c>
      <c r="R46" s="2">
        <f>IFERROR(G46/(G46+J46),0)</f>
        <v/>
      </c>
      <c r="S46" s="2">
        <f>IFERROR(2*Q46*R46/(Q46+R46),0)</f>
        <v/>
      </c>
      <c r="T46" s="2">
        <f>IFERROR(H46/(H46+I46),0)</f>
        <v/>
      </c>
      <c r="U46" s="2">
        <f>IFERROR((G46*H46-I46*J46)/SQRT((G46+I46)*(G46+J46)*(H46+I46)*(H46+J46)),0)</f>
        <v/>
      </c>
    </row>
    <row r="47">
      <c r="A47" t="n">
        <v>2</v>
      </c>
      <c r="B47" t="inlineStr">
        <is>
          <t>SVM</t>
        </is>
      </c>
      <c r="C47" t="inlineStr">
        <is>
          <t>test</t>
        </is>
      </c>
      <c r="D47" t="inlineStr">
        <is>
          <t>unbalanced</t>
        </is>
      </c>
      <c r="E47" t="n">
        <v>8037</v>
      </c>
      <c r="F47" t="n">
        <v>186</v>
      </c>
      <c r="G47" t="n">
        <v>0</v>
      </c>
      <c r="H47" t="n">
        <v>2617</v>
      </c>
      <c r="I47" t="n">
        <v>0</v>
      </c>
      <c r="J47" t="n">
        <v>62</v>
      </c>
      <c r="K47" t="n">
        <v>0.98</v>
      </c>
      <c r="L47" t="n">
        <v>0</v>
      </c>
      <c r="M47" t="n">
        <v>0</v>
      </c>
      <c r="N47" t="n">
        <v>0</v>
      </c>
      <c r="O47" t="n">
        <v>0.65</v>
      </c>
      <c r="P47" s="2">
        <f>IFERROR((G47+H47)/(G47+H47+I47+J47),0)</f>
        <v/>
      </c>
      <c r="Q47" s="2">
        <f>IFERROR(G47/(G47+I47),0)</f>
        <v/>
      </c>
      <c r="R47" s="2">
        <f>IFERROR(G47/(G47+J47),0)</f>
        <v/>
      </c>
      <c r="S47" s="2">
        <f>IFERROR(2*Q47*R47/(Q47+R47),0)</f>
        <v/>
      </c>
      <c r="T47" s="2">
        <f>IFERROR(H47/(H47+I47),0)</f>
        <v/>
      </c>
      <c r="U47" s="2">
        <f>IFERROR((G47*H47-I47*J47)/SQRT((G47+I47)*(G47+J47)*(H47+I47)*(H47+J47)),0)</f>
        <v/>
      </c>
    </row>
    <row r="48">
      <c r="A48" t="n">
        <v>2</v>
      </c>
      <c r="B48" t="inlineStr">
        <is>
          <t>GradientBoosting</t>
        </is>
      </c>
      <c r="C48" t="inlineStr">
        <is>
          <t>train</t>
        </is>
      </c>
      <c r="D48" t="inlineStr">
        <is>
          <t>unbalanced</t>
        </is>
      </c>
      <c r="E48" t="n">
        <v>8037</v>
      </c>
      <c r="F48" t="n">
        <v>186</v>
      </c>
      <c r="G48" t="n">
        <v>57</v>
      </c>
      <c r="H48" t="n">
        <v>7851</v>
      </c>
      <c r="I48" t="n">
        <v>0</v>
      </c>
      <c r="J48" t="n">
        <v>129</v>
      </c>
      <c r="K48" t="n">
        <v>0.98</v>
      </c>
      <c r="L48" t="n">
        <v>1</v>
      </c>
      <c r="M48" t="n">
        <v>0.31</v>
      </c>
      <c r="N48" t="n">
        <v>0.47</v>
      </c>
      <c r="O48" t="n">
        <v>0.97</v>
      </c>
      <c r="P48" s="2">
        <f>IFERROR((G48+H48)/(G48+H48+I48+J48),0)</f>
        <v/>
      </c>
      <c r="Q48" s="2">
        <f>IFERROR(G48/(G48+I48),0)</f>
        <v/>
      </c>
      <c r="R48" s="2">
        <f>IFERROR(G48/(G48+J48),0)</f>
        <v/>
      </c>
      <c r="S48" s="2">
        <f>IFERROR(2*Q48*R48/(Q48+R48),0)</f>
        <v/>
      </c>
      <c r="T48" s="2">
        <f>IFERROR(H48/(H48+I48),0)</f>
        <v/>
      </c>
      <c r="U48" s="2">
        <f>IFERROR((G48*H48-I48*J48)/SQRT((G48+I48)*(G48+J48)*(H48+I48)*(H48+J48)),0)</f>
        <v/>
      </c>
    </row>
    <row r="49">
      <c r="A49" t="n">
        <v>2</v>
      </c>
      <c r="B49" t="inlineStr">
        <is>
          <t>GradientBoosting</t>
        </is>
      </c>
      <c r="C49" t="inlineStr">
        <is>
          <t>test</t>
        </is>
      </c>
      <c r="D49" t="inlineStr">
        <is>
          <t>unbalanced</t>
        </is>
      </c>
      <c r="E49" t="n">
        <v>8037</v>
      </c>
      <c r="F49" t="n">
        <v>186</v>
      </c>
      <c r="G49" t="n">
        <v>4</v>
      </c>
      <c r="H49" t="n">
        <v>2613</v>
      </c>
      <c r="I49" t="n">
        <v>4</v>
      </c>
      <c r="J49" t="n">
        <v>58</v>
      </c>
      <c r="K49" t="n">
        <v>0.98</v>
      </c>
      <c r="L49" t="n">
        <v>0.5</v>
      </c>
      <c r="M49" t="n">
        <v>0.06</v>
      </c>
      <c r="N49" t="n">
        <v>0.11</v>
      </c>
      <c r="O49" t="n">
        <v>0.88</v>
      </c>
      <c r="P49" s="2">
        <f>IFERROR((G49+H49)/(G49+H49+I49+J49),0)</f>
        <v/>
      </c>
      <c r="Q49" s="2">
        <f>IFERROR(G49/(G49+I49),0)</f>
        <v/>
      </c>
      <c r="R49" s="2">
        <f>IFERROR(G49/(G49+J49),0)</f>
        <v/>
      </c>
      <c r="S49" s="2">
        <f>IFERROR(2*Q49*R49/(Q49+R49),0)</f>
        <v/>
      </c>
      <c r="T49" s="2">
        <f>IFERROR(H49/(H49+I49),0)</f>
        <v/>
      </c>
      <c r="U49" s="2">
        <f>IFERROR((G49*H49-I49*J49)/SQRT((G49+I49)*(G49+J49)*(H49+I49)*(H49+J49)),0)</f>
        <v/>
      </c>
    </row>
    <row r="50">
      <c r="A50" t="n">
        <v>2</v>
      </c>
      <c r="B50" t="inlineStr">
        <is>
          <t>LDA</t>
        </is>
      </c>
      <c r="C50" t="inlineStr">
        <is>
          <t>train</t>
        </is>
      </c>
      <c r="D50" t="inlineStr">
        <is>
          <t>balanced</t>
        </is>
      </c>
      <c r="E50" t="n">
        <v>744</v>
      </c>
      <c r="F50" t="n">
        <v>186</v>
      </c>
      <c r="G50" t="n">
        <v>72</v>
      </c>
      <c r="H50" t="n">
        <v>526</v>
      </c>
      <c r="I50" t="n">
        <v>32</v>
      </c>
      <c r="J50" t="n">
        <v>114</v>
      </c>
      <c r="K50" t="n">
        <v>0.8</v>
      </c>
      <c r="L50" t="n">
        <v>0.6899999999999999</v>
      </c>
      <c r="M50" t="n">
        <v>0.39</v>
      </c>
      <c r="N50" t="n">
        <v>0.5</v>
      </c>
      <c r="O50" t="n">
        <v>0.84</v>
      </c>
      <c r="P50" s="2">
        <f>IFERROR((G50+H50)/(G50+H50+I50+J50),0)</f>
        <v/>
      </c>
      <c r="Q50" s="2">
        <f>IFERROR(G50/(G50+I50),0)</f>
        <v/>
      </c>
      <c r="R50" s="2">
        <f>IFERROR(G50/(G50+J50),0)</f>
        <v/>
      </c>
      <c r="S50" s="2">
        <f>IFERROR(2*Q50*R50/(Q50+R50),0)</f>
        <v/>
      </c>
      <c r="T50" s="2">
        <f>IFERROR(H50/(H50+I50),0)</f>
        <v/>
      </c>
      <c r="U50" s="2">
        <f>IFERROR((G50*H50-I50*J50)/SQRT((G50+I50)*(G50+J50)*(H50+I50)*(H50+J50)),0)</f>
        <v/>
      </c>
    </row>
    <row r="51">
      <c r="A51" t="n">
        <v>2</v>
      </c>
      <c r="B51" t="inlineStr">
        <is>
          <t>LDA</t>
        </is>
      </c>
      <c r="C51" t="inlineStr">
        <is>
          <t>test</t>
        </is>
      </c>
      <c r="D51" t="inlineStr">
        <is>
          <t>balanced</t>
        </is>
      </c>
      <c r="E51" t="n">
        <v>744</v>
      </c>
      <c r="F51" t="n">
        <v>186</v>
      </c>
      <c r="G51" t="n">
        <v>33</v>
      </c>
      <c r="H51" t="n">
        <v>2446</v>
      </c>
      <c r="I51" t="n">
        <v>171</v>
      </c>
      <c r="J51" t="n">
        <v>29</v>
      </c>
      <c r="K51" t="n">
        <v>0.93</v>
      </c>
      <c r="L51" t="n">
        <v>0.16</v>
      </c>
      <c r="M51" t="n">
        <v>0.53</v>
      </c>
      <c r="N51" t="n">
        <v>0.25</v>
      </c>
      <c r="O51" t="n">
        <v>0.88</v>
      </c>
      <c r="P51" s="2">
        <f>IFERROR((G51+H51)/(G51+H51+I51+J51),0)</f>
        <v/>
      </c>
      <c r="Q51" s="2">
        <f>IFERROR(G51/(G51+I51),0)</f>
        <v/>
      </c>
      <c r="R51" s="2">
        <f>IFERROR(G51/(G51+J51),0)</f>
        <v/>
      </c>
      <c r="S51" s="2">
        <f>IFERROR(2*Q51*R51/(Q51+R51),0)</f>
        <v/>
      </c>
      <c r="T51" s="2">
        <f>IFERROR(H51/(H51+I51),0)</f>
        <v/>
      </c>
      <c r="U51" s="2">
        <f>IFERROR((G51*H51-I51*J51)/SQRT((G51+I51)*(G51+J51)*(H51+I51)*(H51+J51)),0)</f>
        <v/>
      </c>
    </row>
    <row r="52">
      <c r="A52" t="n">
        <v>2</v>
      </c>
      <c r="B52" t="inlineStr">
        <is>
          <t>LogisticRegression</t>
        </is>
      </c>
      <c r="C52" t="inlineStr">
        <is>
          <t>train</t>
        </is>
      </c>
      <c r="D52" t="inlineStr">
        <is>
          <t>balanced</t>
        </is>
      </c>
      <c r="E52" t="n">
        <v>744</v>
      </c>
      <c r="F52" t="n">
        <v>186</v>
      </c>
      <c r="G52" t="n">
        <v>64</v>
      </c>
      <c r="H52" t="n">
        <v>530</v>
      </c>
      <c r="I52" t="n">
        <v>28</v>
      </c>
      <c r="J52" t="n">
        <v>122</v>
      </c>
      <c r="K52" t="n">
        <v>0.8</v>
      </c>
      <c r="L52" t="n">
        <v>0.7</v>
      </c>
      <c r="M52" t="n">
        <v>0.34</v>
      </c>
      <c r="N52" t="n">
        <v>0.46</v>
      </c>
      <c r="O52" t="n">
        <v>0.83</v>
      </c>
      <c r="P52" s="2">
        <f>IFERROR((G52+H52)/(G52+H52+I52+J52),0)</f>
        <v/>
      </c>
      <c r="Q52" s="2">
        <f>IFERROR(G52/(G52+I52),0)</f>
        <v/>
      </c>
      <c r="R52" s="2">
        <f>IFERROR(G52/(G52+J52),0)</f>
        <v/>
      </c>
      <c r="S52" s="2">
        <f>IFERROR(2*Q52*R52/(Q52+R52),0)</f>
        <v/>
      </c>
      <c r="T52" s="2">
        <f>IFERROR(H52/(H52+I52),0)</f>
        <v/>
      </c>
      <c r="U52" s="2">
        <f>IFERROR((G52*H52-I52*J52)/SQRT((G52+I52)*(G52+J52)*(H52+I52)*(H52+J52)),0)</f>
        <v/>
      </c>
    </row>
    <row r="53">
      <c r="A53" t="n">
        <v>2</v>
      </c>
      <c r="B53" t="inlineStr">
        <is>
          <t>LogisticRegression</t>
        </is>
      </c>
      <c r="C53" t="inlineStr">
        <is>
          <t>test</t>
        </is>
      </c>
      <c r="D53" t="inlineStr">
        <is>
          <t>balanced</t>
        </is>
      </c>
      <c r="E53" t="n">
        <v>744</v>
      </c>
      <c r="F53" t="n">
        <v>186</v>
      </c>
      <c r="G53" t="n">
        <v>29</v>
      </c>
      <c r="H53" t="n">
        <v>2471</v>
      </c>
      <c r="I53" t="n">
        <v>146</v>
      </c>
      <c r="J53" t="n">
        <v>33</v>
      </c>
      <c r="K53" t="n">
        <v>0.93</v>
      </c>
      <c r="L53" t="n">
        <v>0.17</v>
      </c>
      <c r="M53" t="n">
        <v>0.47</v>
      </c>
      <c r="N53" t="n">
        <v>0.24</v>
      </c>
      <c r="O53" t="n">
        <v>0.87</v>
      </c>
      <c r="P53" s="2">
        <f>IFERROR((G53+H53)/(G53+H53+I53+J53),0)</f>
        <v/>
      </c>
      <c r="Q53" s="2">
        <f>IFERROR(G53/(G53+I53),0)</f>
        <v/>
      </c>
      <c r="R53" s="2">
        <f>IFERROR(G53/(G53+J53),0)</f>
        <v/>
      </c>
      <c r="S53" s="2">
        <f>IFERROR(2*Q53*R53/(Q53+R53),0)</f>
        <v/>
      </c>
      <c r="T53" s="2">
        <f>IFERROR(H53/(H53+I53),0)</f>
        <v/>
      </c>
      <c r="U53" s="2">
        <f>IFERROR((G53*H53-I53*J53)/SQRT((G53+I53)*(G53+J53)*(H53+I53)*(H53+J53)),0)</f>
        <v/>
      </c>
    </row>
    <row r="54">
      <c r="A54" t="n">
        <v>2</v>
      </c>
      <c r="B54" t="inlineStr">
        <is>
          <t>DecisionTree</t>
        </is>
      </c>
      <c r="C54" t="inlineStr">
        <is>
          <t>train</t>
        </is>
      </c>
      <c r="D54" t="inlineStr">
        <is>
          <t>balanced</t>
        </is>
      </c>
      <c r="E54" t="n">
        <v>744</v>
      </c>
      <c r="F54" t="n">
        <v>186</v>
      </c>
      <c r="G54" t="n">
        <v>186</v>
      </c>
      <c r="H54" t="n">
        <v>558</v>
      </c>
      <c r="I54" t="n">
        <v>0</v>
      </c>
      <c r="J54" t="n">
        <v>0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s="2">
        <f>IFERROR((G54+H54)/(G54+H54+I54+J54),0)</f>
        <v/>
      </c>
      <c r="Q54" s="2">
        <f>IFERROR(G54/(G54+I54),0)</f>
        <v/>
      </c>
      <c r="R54" s="2">
        <f>IFERROR(G54/(G54+J54),0)</f>
        <v/>
      </c>
      <c r="S54" s="2">
        <f>IFERROR(2*Q54*R54/(Q54+R54),0)</f>
        <v/>
      </c>
      <c r="T54" s="2">
        <f>IFERROR(H54/(H54+I54),0)</f>
        <v/>
      </c>
      <c r="U54" s="2">
        <f>IFERROR((G54*H54-I54*J54)/SQRT((G54+I54)*(G54+J54)*(H54+I54)*(H54+J54)),0)</f>
        <v/>
      </c>
    </row>
    <row r="55">
      <c r="A55" t="n">
        <v>2</v>
      </c>
      <c r="B55" t="inlineStr">
        <is>
          <t>DecisionTree</t>
        </is>
      </c>
      <c r="C55" t="inlineStr">
        <is>
          <t>test</t>
        </is>
      </c>
      <c r="D55" t="inlineStr">
        <is>
          <t>balanced</t>
        </is>
      </c>
      <c r="E55" t="n">
        <v>744</v>
      </c>
      <c r="F55" t="n">
        <v>186</v>
      </c>
      <c r="G55" t="n">
        <v>36</v>
      </c>
      <c r="H55" t="n">
        <v>2138</v>
      </c>
      <c r="I55" t="n">
        <v>479</v>
      </c>
      <c r="J55" t="n">
        <v>26</v>
      </c>
      <c r="K55" t="n">
        <v>0.8100000000000001</v>
      </c>
      <c r="L55" t="n">
        <v>0.07000000000000001</v>
      </c>
      <c r="M55" t="n">
        <v>0.58</v>
      </c>
      <c r="N55" t="n">
        <v>0.12</v>
      </c>
      <c r="O55" t="n">
        <v>0.7</v>
      </c>
      <c r="P55" s="2">
        <f>IFERROR((G55+H55)/(G55+H55+I55+J55),0)</f>
        <v/>
      </c>
      <c r="Q55" s="2">
        <f>IFERROR(G55/(G55+I55),0)</f>
        <v/>
      </c>
      <c r="R55" s="2">
        <f>IFERROR(G55/(G55+J55),0)</f>
        <v/>
      </c>
      <c r="S55" s="2">
        <f>IFERROR(2*Q55*R55/(Q55+R55),0)</f>
        <v/>
      </c>
      <c r="T55" s="2">
        <f>IFERROR(H55/(H55+I55),0)</f>
        <v/>
      </c>
      <c r="U55" s="2">
        <f>IFERROR((G55*H55-I55*J55)/SQRT((G55+I55)*(G55+J55)*(H55+I55)*(H55+J55)),0)</f>
        <v/>
      </c>
    </row>
    <row r="56">
      <c r="A56" t="n">
        <v>2</v>
      </c>
      <c r="B56" t="inlineStr">
        <is>
          <t>RandomForest</t>
        </is>
      </c>
      <c r="C56" t="inlineStr">
        <is>
          <t>train</t>
        </is>
      </c>
      <c r="D56" t="inlineStr">
        <is>
          <t>balanced</t>
        </is>
      </c>
      <c r="E56" t="n">
        <v>744</v>
      </c>
      <c r="F56" t="n">
        <v>186</v>
      </c>
      <c r="G56" t="n">
        <v>186</v>
      </c>
      <c r="H56" t="n">
        <v>558</v>
      </c>
      <c r="I56" t="n">
        <v>0</v>
      </c>
      <c r="J56" t="n">
        <v>0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s="2">
        <f>IFERROR((G56+H56)/(G56+H56+I56+J56),0)</f>
        <v/>
      </c>
      <c r="Q56" s="2">
        <f>IFERROR(G56/(G56+I56),0)</f>
        <v/>
      </c>
      <c r="R56" s="2">
        <f>IFERROR(G56/(G56+J56),0)</f>
        <v/>
      </c>
      <c r="S56" s="2">
        <f>IFERROR(2*Q56*R56/(Q56+R56),0)</f>
        <v/>
      </c>
      <c r="T56" s="2">
        <f>IFERROR(H56/(H56+I56),0)</f>
        <v/>
      </c>
      <c r="U56" s="2">
        <f>IFERROR((G56*H56-I56*J56)/SQRT((G56+I56)*(G56+J56)*(H56+I56)*(H56+J56)),0)</f>
        <v/>
      </c>
    </row>
    <row r="57">
      <c r="A57" t="n">
        <v>2</v>
      </c>
      <c r="B57" t="inlineStr">
        <is>
          <t>RandomForest</t>
        </is>
      </c>
      <c r="C57" t="inlineStr">
        <is>
          <t>test</t>
        </is>
      </c>
      <c r="D57" t="inlineStr">
        <is>
          <t>balanced</t>
        </is>
      </c>
      <c r="E57" t="n">
        <v>744</v>
      </c>
      <c r="F57" t="n">
        <v>186</v>
      </c>
      <c r="G57" t="n">
        <v>34</v>
      </c>
      <c r="H57" t="n">
        <v>2414</v>
      </c>
      <c r="I57" t="n">
        <v>203</v>
      </c>
      <c r="J57" t="n">
        <v>28</v>
      </c>
      <c r="K57" t="n">
        <v>0.91</v>
      </c>
      <c r="L57" t="n">
        <v>0.14</v>
      </c>
      <c r="M57" t="n">
        <v>0.55</v>
      </c>
      <c r="N57" t="n">
        <v>0.23</v>
      </c>
      <c r="O57" t="n">
        <v>0.89</v>
      </c>
      <c r="P57" s="2">
        <f>IFERROR((G57+H57)/(G57+H57+I57+J57),0)</f>
        <v/>
      </c>
      <c r="Q57" s="2">
        <f>IFERROR(G57/(G57+I57),0)</f>
        <v/>
      </c>
      <c r="R57" s="2">
        <f>IFERROR(G57/(G57+J57),0)</f>
        <v/>
      </c>
      <c r="S57" s="2">
        <f>IFERROR(2*Q57*R57/(Q57+R57),0)</f>
        <v/>
      </c>
      <c r="T57" s="2">
        <f>IFERROR(H57/(H57+I57),0)</f>
        <v/>
      </c>
      <c r="U57" s="2">
        <f>IFERROR((G57*H57-I57*J57)/SQRT((G57+I57)*(G57+J57)*(H57+I57)*(H57+J57)),0)</f>
        <v/>
      </c>
    </row>
    <row r="58">
      <c r="A58" t="n">
        <v>2</v>
      </c>
      <c r="B58" t="inlineStr">
        <is>
          <t>kNN</t>
        </is>
      </c>
      <c r="C58" t="inlineStr">
        <is>
          <t>train</t>
        </is>
      </c>
      <c r="D58" t="inlineStr">
        <is>
          <t>balanced</t>
        </is>
      </c>
      <c r="E58" t="n">
        <v>744</v>
      </c>
      <c r="F58" t="n">
        <v>186</v>
      </c>
      <c r="G58" t="n">
        <v>108</v>
      </c>
      <c r="H58" t="n">
        <v>518</v>
      </c>
      <c r="I58" t="n">
        <v>40</v>
      </c>
      <c r="J58" t="n">
        <v>78</v>
      </c>
      <c r="K58" t="n">
        <v>0.84</v>
      </c>
      <c r="L58" t="n">
        <v>0.73</v>
      </c>
      <c r="M58" t="n">
        <v>0.58</v>
      </c>
      <c r="N58" t="n">
        <v>0.65</v>
      </c>
      <c r="O58" t="n">
        <v>0.91</v>
      </c>
      <c r="P58" s="2">
        <f>IFERROR((G58+H58)/(G58+H58+I58+J58),0)</f>
        <v/>
      </c>
      <c r="Q58" s="2">
        <f>IFERROR(G58/(G58+I58),0)</f>
        <v/>
      </c>
      <c r="R58" s="2">
        <f>IFERROR(G58/(G58+J58),0)</f>
        <v/>
      </c>
      <c r="S58" s="2">
        <f>IFERROR(2*Q58*R58/(Q58+R58),0)</f>
        <v/>
      </c>
      <c r="T58" s="2">
        <f>IFERROR(H58/(H58+I58),0)</f>
        <v/>
      </c>
      <c r="U58" s="2">
        <f>IFERROR((G58*H58-I58*J58)/SQRT((G58+I58)*(G58+J58)*(H58+I58)*(H58+J58)),0)</f>
        <v/>
      </c>
    </row>
    <row r="59">
      <c r="A59" t="n">
        <v>2</v>
      </c>
      <c r="B59" t="inlineStr">
        <is>
          <t>kNN</t>
        </is>
      </c>
      <c r="C59" t="inlineStr">
        <is>
          <t>test</t>
        </is>
      </c>
      <c r="D59" t="inlineStr">
        <is>
          <t>balanced</t>
        </is>
      </c>
      <c r="E59" t="n">
        <v>744</v>
      </c>
      <c r="F59" t="n">
        <v>186</v>
      </c>
      <c r="G59" t="n">
        <v>32</v>
      </c>
      <c r="H59" t="n">
        <v>2336</v>
      </c>
      <c r="I59" t="n">
        <v>281</v>
      </c>
      <c r="J59" t="n">
        <v>30</v>
      </c>
      <c r="K59" t="n">
        <v>0.88</v>
      </c>
      <c r="L59" t="n">
        <v>0.1</v>
      </c>
      <c r="M59" t="n">
        <v>0.52</v>
      </c>
      <c r="N59" t="n">
        <v>0.17</v>
      </c>
      <c r="O59" t="n">
        <v>0.82</v>
      </c>
      <c r="P59" s="2">
        <f>IFERROR((G59+H59)/(G59+H59+I59+J59),0)</f>
        <v/>
      </c>
      <c r="Q59" s="2">
        <f>IFERROR(G59/(G59+I59),0)</f>
        <v/>
      </c>
      <c r="R59" s="2">
        <f>IFERROR(G59/(G59+J59),0)</f>
        <v/>
      </c>
      <c r="S59" s="2">
        <f>IFERROR(2*Q59*R59/(Q59+R59),0)</f>
        <v/>
      </c>
      <c r="T59" s="2">
        <f>IFERROR(H59/(H59+I59),0)</f>
        <v/>
      </c>
      <c r="U59" s="2">
        <f>IFERROR((G59*H59-I59*J59)/SQRT((G59+I59)*(G59+J59)*(H59+I59)*(H59+J59)),0)</f>
        <v/>
      </c>
    </row>
    <row r="60">
      <c r="A60" t="n">
        <v>2</v>
      </c>
      <c r="B60" t="inlineStr">
        <is>
          <t>NaiveBayes</t>
        </is>
      </c>
      <c r="C60" t="inlineStr">
        <is>
          <t>train</t>
        </is>
      </c>
      <c r="D60" t="inlineStr">
        <is>
          <t>balanced</t>
        </is>
      </c>
      <c r="E60" t="n">
        <v>744</v>
      </c>
      <c r="F60" t="n">
        <v>186</v>
      </c>
      <c r="G60" t="n">
        <v>95</v>
      </c>
      <c r="H60" t="n">
        <v>497</v>
      </c>
      <c r="I60" t="n">
        <v>61</v>
      </c>
      <c r="J60" t="n">
        <v>91</v>
      </c>
      <c r="K60" t="n">
        <v>0.8</v>
      </c>
      <c r="L60" t="n">
        <v>0.61</v>
      </c>
      <c r="M60" t="n">
        <v>0.51</v>
      </c>
      <c r="N60" t="n">
        <v>0.5600000000000001</v>
      </c>
      <c r="O60" t="n">
        <v>0.83</v>
      </c>
      <c r="P60" s="2">
        <f>IFERROR((G60+H60)/(G60+H60+I60+J60),0)</f>
        <v/>
      </c>
      <c r="Q60" s="2">
        <f>IFERROR(G60/(G60+I60),0)</f>
        <v/>
      </c>
      <c r="R60" s="2">
        <f>IFERROR(G60/(G60+J60),0)</f>
        <v/>
      </c>
      <c r="S60" s="2">
        <f>IFERROR(2*Q60*R60/(Q60+R60),0)</f>
        <v/>
      </c>
      <c r="T60" s="2">
        <f>IFERROR(H60/(H60+I60),0)</f>
        <v/>
      </c>
      <c r="U60" s="2">
        <f>IFERROR((G60*H60-I60*J60)/SQRT((G60+I60)*(G60+J60)*(H60+I60)*(H60+J60)),0)</f>
        <v/>
      </c>
    </row>
    <row r="61">
      <c r="A61" t="n">
        <v>2</v>
      </c>
      <c r="B61" t="inlineStr">
        <is>
          <t>NaiveBayes</t>
        </is>
      </c>
      <c r="C61" t="inlineStr">
        <is>
          <t>test</t>
        </is>
      </c>
      <c r="D61" t="inlineStr">
        <is>
          <t>balanced</t>
        </is>
      </c>
      <c r="E61" t="n">
        <v>744</v>
      </c>
      <c r="F61" t="n">
        <v>186</v>
      </c>
      <c r="G61" t="n">
        <v>42</v>
      </c>
      <c r="H61" t="n">
        <v>2264</v>
      </c>
      <c r="I61" t="n">
        <v>353</v>
      </c>
      <c r="J61" t="n">
        <v>20</v>
      </c>
      <c r="K61" t="n">
        <v>0.86</v>
      </c>
      <c r="L61" t="n">
        <v>0.11</v>
      </c>
      <c r="M61" t="n">
        <v>0.68</v>
      </c>
      <c r="N61" t="n">
        <v>0.18</v>
      </c>
      <c r="O61" t="n">
        <v>0.84</v>
      </c>
      <c r="P61" s="2">
        <f>IFERROR((G61+H61)/(G61+H61+I61+J61),0)</f>
        <v/>
      </c>
      <c r="Q61" s="2">
        <f>IFERROR(G61/(G61+I61),0)</f>
        <v/>
      </c>
      <c r="R61" s="2">
        <f>IFERROR(G61/(G61+J61),0)</f>
        <v/>
      </c>
      <c r="S61" s="2">
        <f>IFERROR(2*Q61*R61/(Q61+R61),0)</f>
        <v/>
      </c>
      <c r="T61" s="2">
        <f>IFERROR(H61/(H61+I61),0)</f>
        <v/>
      </c>
      <c r="U61" s="2">
        <f>IFERROR((G61*H61-I61*J61)/SQRT((G61+I61)*(G61+J61)*(H61+I61)*(H61+J61)),0)</f>
        <v/>
      </c>
    </row>
    <row r="62">
      <c r="A62" t="n">
        <v>2</v>
      </c>
      <c r="B62" t="inlineStr">
        <is>
          <t>SVM</t>
        </is>
      </c>
      <c r="C62" t="inlineStr">
        <is>
          <t>train</t>
        </is>
      </c>
      <c r="D62" t="inlineStr">
        <is>
          <t>balanced</t>
        </is>
      </c>
      <c r="E62" t="n">
        <v>744</v>
      </c>
      <c r="F62" t="n">
        <v>186</v>
      </c>
      <c r="G62" t="n">
        <v>78</v>
      </c>
      <c r="H62" t="n">
        <v>538</v>
      </c>
      <c r="I62" t="n">
        <v>20</v>
      </c>
      <c r="J62" t="n">
        <v>108</v>
      </c>
      <c r="K62" t="n">
        <v>0.83</v>
      </c>
      <c r="L62" t="n">
        <v>0.8</v>
      </c>
      <c r="M62" t="n">
        <v>0.42</v>
      </c>
      <c r="N62" t="n">
        <v>0.55</v>
      </c>
      <c r="O62" t="n">
        <v>0.88</v>
      </c>
      <c r="P62" s="2">
        <f>IFERROR((G62+H62)/(G62+H62+I62+J62),0)</f>
        <v/>
      </c>
      <c r="Q62" s="2">
        <f>IFERROR(G62/(G62+I62),0)</f>
        <v/>
      </c>
      <c r="R62" s="2">
        <f>IFERROR(G62/(G62+J62),0)</f>
        <v/>
      </c>
      <c r="S62" s="2">
        <f>IFERROR(2*Q62*R62/(Q62+R62),0)</f>
        <v/>
      </c>
      <c r="T62" s="2">
        <f>IFERROR(H62/(H62+I62),0)</f>
        <v/>
      </c>
      <c r="U62" s="2">
        <f>IFERROR((G62*H62-I62*J62)/SQRT((G62+I62)*(G62+J62)*(H62+I62)*(H62+J62)),0)</f>
        <v/>
      </c>
    </row>
    <row r="63">
      <c r="A63" t="n">
        <v>2</v>
      </c>
      <c r="B63" t="inlineStr">
        <is>
          <t>SVM</t>
        </is>
      </c>
      <c r="C63" t="inlineStr">
        <is>
          <t>test</t>
        </is>
      </c>
      <c r="D63" t="inlineStr">
        <is>
          <t>balanced</t>
        </is>
      </c>
      <c r="E63" t="n">
        <v>744</v>
      </c>
      <c r="F63" t="n">
        <v>186</v>
      </c>
      <c r="G63" t="n">
        <v>23</v>
      </c>
      <c r="H63" t="n">
        <v>2461</v>
      </c>
      <c r="I63" t="n">
        <v>156</v>
      </c>
      <c r="J63" t="n">
        <v>39</v>
      </c>
      <c r="K63" t="n">
        <v>0.93</v>
      </c>
      <c r="L63" t="n">
        <v>0.13</v>
      </c>
      <c r="M63" t="n">
        <v>0.37</v>
      </c>
      <c r="N63" t="n">
        <v>0.19</v>
      </c>
      <c r="O63" t="n">
        <v>0.85</v>
      </c>
      <c r="P63" s="2">
        <f>IFERROR((G63+H63)/(G63+H63+I63+J63),0)</f>
        <v/>
      </c>
      <c r="Q63" s="2">
        <f>IFERROR(G63/(G63+I63),0)</f>
        <v/>
      </c>
      <c r="R63" s="2">
        <f>IFERROR(G63/(G63+J63),0)</f>
        <v/>
      </c>
      <c r="S63" s="2">
        <f>IFERROR(2*Q63*R63/(Q63+R63),0)</f>
        <v/>
      </c>
      <c r="T63" s="2">
        <f>IFERROR(H63/(H63+I63),0)</f>
        <v/>
      </c>
      <c r="U63" s="2">
        <f>IFERROR((G63*H63-I63*J63)/SQRT((G63+I63)*(G63+J63)*(H63+I63)*(H63+J63)),0)</f>
        <v/>
      </c>
    </row>
    <row r="64">
      <c r="A64" t="n">
        <v>2</v>
      </c>
      <c r="B64" t="inlineStr">
        <is>
          <t>GradientBoosting</t>
        </is>
      </c>
      <c r="C64" t="inlineStr">
        <is>
          <t>train</t>
        </is>
      </c>
      <c r="D64" t="inlineStr">
        <is>
          <t>balanced</t>
        </is>
      </c>
      <c r="E64" t="n">
        <v>744</v>
      </c>
      <c r="F64" t="n">
        <v>186</v>
      </c>
      <c r="G64" t="n">
        <v>153</v>
      </c>
      <c r="H64" t="n">
        <v>550</v>
      </c>
      <c r="I64" t="n">
        <v>8</v>
      </c>
      <c r="J64" t="n">
        <v>33</v>
      </c>
      <c r="K64" t="n">
        <v>0.9399999999999999</v>
      </c>
      <c r="L64" t="n">
        <v>0.95</v>
      </c>
      <c r="M64" t="n">
        <v>0.82</v>
      </c>
      <c r="N64" t="n">
        <v>0.88</v>
      </c>
      <c r="O64" t="n">
        <v>0.99</v>
      </c>
      <c r="P64" s="2">
        <f>IFERROR((G64+H64)/(G64+H64+I64+J64),0)</f>
        <v/>
      </c>
      <c r="Q64" s="2">
        <f>IFERROR(G64/(G64+I64),0)</f>
        <v/>
      </c>
      <c r="R64" s="2">
        <f>IFERROR(G64/(G64+J64),0)</f>
        <v/>
      </c>
      <c r="S64" s="2">
        <f>IFERROR(2*Q64*R64/(Q64+R64),0)</f>
        <v/>
      </c>
      <c r="T64" s="2">
        <f>IFERROR(H64/(H64+I64),0)</f>
        <v/>
      </c>
      <c r="U64" s="2">
        <f>IFERROR((G64*H64-I64*J64)/SQRT((G64+I64)*(G64+J64)*(H64+I64)*(H64+J64)),0)</f>
        <v/>
      </c>
    </row>
    <row r="65">
      <c r="A65" t="n">
        <v>2</v>
      </c>
      <c r="B65" t="inlineStr">
        <is>
          <t>GradientBoosting</t>
        </is>
      </c>
      <c r="C65" t="inlineStr">
        <is>
          <t>test</t>
        </is>
      </c>
      <c r="D65" t="inlineStr">
        <is>
          <t>balanced</t>
        </is>
      </c>
      <c r="E65" t="n">
        <v>744</v>
      </c>
      <c r="F65" t="n">
        <v>186</v>
      </c>
      <c r="G65" t="n">
        <v>39</v>
      </c>
      <c r="H65" t="n">
        <v>2396</v>
      </c>
      <c r="I65" t="n">
        <v>221</v>
      </c>
      <c r="J65" t="n">
        <v>23</v>
      </c>
      <c r="K65" t="n">
        <v>0.91</v>
      </c>
      <c r="L65" t="n">
        <v>0.15</v>
      </c>
      <c r="M65" t="n">
        <v>0.63</v>
      </c>
      <c r="N65" t="n">
        <v>0.24</v>
      </c>
      <c r="O65" t="n">
        <v>0.87</v>
      </c>
      <c r="P65" s="2">
        <f>IFERROR((G65+H65)/(G65+H65+I65+J65),0)</f>
        <v/>
      </c>
      <c r="Q65" s="2">
        <f>IFERROR(G65/(G65+I65),0)</f>
        <v/>
      </c>
      <c r="R65" s="2">
        <f>IFERROR(G65/(G65+J65),0)</f>
        <v/>
      </c>
      <c r="S65" s="2">
        <f>IFERROR(2*Q65*R65/(Q65+R65),0)</f>
        <v/>
      </c>
      <c r="T65" s="2">
        <f>IFERROR(H65/(H65+I65),0)</f>
        <v/>
      </c>
      <c r="U65" s="2">
        <f>IFERROR((G65*H65-I65*J65)/SQRT((G65+I65)*(G65+J65)*(H65+I65)*(H65+J65)),0)</f>
        <v/>
      </c>
    </row>
    <row r="66">
      <c r="A66" t="n">
        <v>3</v>
      </c>
      <c r="B66" t="inlineStr">
        <is>
          <t>LDA</t>
        </is>
      </c>
      <c r="C66" t="inlineStr">
        <is>
          <t>train</t>
        </is>
      </c>
      <c r="D66" t="inlineStr">
        <is>
          <t>unbalanced</t>
        </is>
      </c>
      <c r="E66" t="n">
        <v>8037</v>
      </c>
      <c r="F66" t="n">
        <v>186</v>
      </c>
      <c r="G66" t="n">
        <v>15</v>
      </c>
      <c r="H66" t="n">
        <v>7764</v>
      </c>
      <c r="I66" t="n">
        <v>87</v>
      </c>
      <c r="J66" t="n">
        <v>171</v>
      </c>
      <c r="K66" t="n">
        <v>0.97</v>
      </c>
      <c r="L66" t="n">
        <v>0.15</v>
      </c>
      <c r="M66" t="n">
        <v>0.08</v>
      </c>
      <c r="N66" t="n">
        <v>0.1</v>
      </c>
      <c r="O66" t="n">
        <v>0.85</v>
      </c>
      <c r="P66" s="2">
        <f>IFERROR((G66+H66)/(G66+H66+I66+J66),0)</f>
        <v/>
      </c>
      <c r="Q66" s="2">
        <f>IFERROR(G66/(G66+I66),0)</f>
        <v/>
      </c>
      <c r="R66" s="2">
        <f>IFERROR(G66/(G66+J66),0)</f>
        <v/>
      </c>
      <c r="S66" s="2">
        <f>IFERROR(2*Q66*R66/(Q66+R66),0)</f>
        <v/>
      </c>
      <c r="T66" s="2">
        <f>IFERROR(H66/(H66+I66),0)</f>
        <v/>
      </c>
      <c r="U66" s="2">
        <f>IFERROR((G66*H66-I66*J66)/SQRT((G66+I66)*(G66+J66)*(H66+I66)*(H66+J66)),0)</f>
        <v/>
      </c>
    </row>
    <row r="67">
      <c r="A67" t="n">
        <v>3</v>
      </c>
      <c r="B67" t="inlineStr">
        <is>
          <t>LDA</t>
        </is>
      </c>
      <c r="C67" t="inlineStr">
        <is>
          <t>test</t>
        </is>
      </c>
      <c r="D67" t="inlineStr">
        <is>
          <t>unbalanced</t>
        </is>
      </c>
      <c r="E67" t="n">
        <v>8037</v>
      </c>
      <c r="F67" t="n">
        <v>186</v>
      </c>
      <c r="G67" t="n">
        <v>3</v>
      </c>
      <c r="H67" t="n">
        <v>2578</v>
      </c>
      <c r="I67" t="n">
        <v>39</v>
      </c>
      <c r="J67" t="n">
        <v>59</v>
      </c>
      <c r="K67" t="n">
        <v>0.96</v>
      </c>
      <c r="L67" t="n">
        <v>0.07000000000000001</v>
      </c>
      <c r="M67" t="n">
        <v>0.05</v>
      </c>
      <c r="N67" t="n">
        <v>0.06</v>
      </c>
      <c r="O67" t="n">
        <v>0.8</v>
      </c>
      <c r="P67" s="2">
        <f>IFERROR((G67+H67)/(G67+H67+I67+J67),0)</f>
        <v/>
      </c>
      <c r="Q67" s="2">
        <f>IFERROR(G67/(G67+I67),0)</f>
        <v/>
      </c>
      <c r="R67" s="2">
        <f>IFERROR(G67/(G67+J67),0)</f>
        <v/>
      </c>
      <c r="S67" s="2">
        <f>IFERROR(2*Q67*R67/(Q67+R67),0)</f>
        <v/>
      </c>
      <c r="T67" s="2">
        <f>IFERROR(H67/(H67+I67),0)</f>
        <v/>
      </c>
      <c r="U67" s="2">
        <f>IFERROR((G67*H67-I67*J67)/SQRT((G67+I67)*(G67+J67)*(H67+I67)*(H67+J67)),0)</f>
        <v/>
      </c>
    </row>
    <row r="68">
      <c r="A68" t="n">
        <v>3</v>
      </c>
      <c r="B68" t="inlineStr">
        <is>
          <t>LogisticRegression</t>
        </is>
      </c>
      <c r="C68" t="inlineStr">
        <is>
          <t>train</t>
        </is>
      </c>
      <c r="D68" t="inlineStr">
        <is>
          <t>unbalanced</t>
        </is>
      </c>
      <c r="E68" t="n">
        <v>8037</v>
      </c>
      <c r="F68" t="n">
        <v>186</v>
      </c>
      <c r="G68" t="n">
        <v>1</v>
      </c>
      <c r="H68" t="n">
        <v>7847</v>
      </c>
      <c r="I68" t="n">
        <v>4</v>
      </c>
      <c r="J68" t="n">
        <v>185</v>
      </c>
      <c r="K68" t="n">
        <v>0.98</v>
      </c>
      <c r="L68" t="n">
        <v>0.2</v>
      </c>
      <c r="M68" t="n">
        <v>0.01</v>
      </c>
      <c r="N68" t="n">
        <v>0.01</v>
      </c>
      <c r="O68" t="n">
        <v>0.85</v>
      </c>
      <c r="P68" s="2">
        <f>IFERROR((G68+H68)/(G68+H68+I68+J68),0)</f>
        <v/>
      </c>
      <c r="Q68" s="2">
        <f>IFERROR(G68/(G68+I68),0)</f>
        <v/>
      </c>
      <c r="R68" s="2">
        <f>IFERROR(G68/(G68+J68),0)</f>
        <v/>
      </c>
      <c r="S68" s="2">
        <f>IFERROR(2*Q68*R68/(Q68+R68),0)</f>
        <v/>
      </c>
      <c r="T68" s="2">
        <f>IFERROR(H68/(H68+I68),0)</f>
        <v/>
      </c>
      <c r="U68" s="2">
        <f>IFERROR((G68*H68-I68*J68)/SQRT((G68+I68)*(G68+J68)*(H68+I68)*(H68+J68)),0)</f>
        <v/>
      </c>
    </row>
    <row r="69">
      <c r="A69" t="n">
        <v>3</v>
      </c>
      <c r="B69" t="inlineStr">
        <is>
          <t>LogisticRegression</t>
        </is>
      </c>
      <c r="C69" t="inlineStr">
        <is>
          <t>test</t>
        </is>
      </c>
      <c r="D69" t="inlineStr">
        <is>
          <t>unbalanced</t>
        </is>
      </c>
      <c r="E69" t="n">
        <v>8037</v>
      </c>
      <c r="F69" t="n">
        <v>186</v>
      </c>
      <c r="G69" t="n">
        <v>0</v>
      </c>
      <c r="H69" t="n">
        <v>2615</v>
      </c>
      <c r="I69" t="n">
        <v>2</v>
      </c>
      <c r="J69" t="n">
        <v>62</v>
      </c>
      <c r="K69" t="n">
        <v>0.98</v>
      </c>
      <c r="L69" t="n">
        <v>0</v>
      </c>
      <c r="M69" t="n">
        <v>0</v>
      </c>
      <c r="N69" t="n">
        <v>0</v>
      </c>
      <c r="O69" t="n">
        <v>0.79</v>
      </c>
      <c r="P69" s="2">
        <f>IFERROR((G69+H69)/(G69+H69+I69+J69),0)</f>
        <v/>
      </c>
      <c r="Q69" s="2">
        <f>IFERROR(G69/(G69+I69),0)</f>
        <v/>
      </c>
      <c r="R69" s="2">
        <f>IFERROR(G69/(G69+J69),0)</f>
        <v/>
      </c>
      <c r="S69" s="2">
        <f>IFERROR(2*Q69*R69/(Q69+R69),0)</f>
        <v/>
      </c>
      <c r="T69" s="2">
        <f>IFERROR(H69/(H69+I69),0)</f>
        <v/>
      </c>
      <c r="U69" s="2">
        <f>IFERROR((G69*H69-I69*J69)/SQRT((G69+I69)*(G69+J69)*(H69+I69)*(H69+J69)),0)</f>
        <v/>
      </c>
    </row>
    <row r="70">
      <c r="A70" t="n">
        <v>3</v>
      </c>
      <c r="B70" t="inlineStr">
        <is>
          <t>DecisionTree</t>
        </is>
      </c>
      <c r="C70" t="inlineStr">
        <is>
          <t>train</t>
        </is>
      </c>
      <c r="D70" t="inlineStr">
        <is>
          <t>unbalanced</t>
        </is>
      </c>
      <c r="E70" t="n">
        <v>8037</v>
      </c>
      <c r="F70" t="n">
        <v>186</v>
      </c>
      <c r="G70" t="n">
        <v>186</v>
      </c>
      <c r="H70" t="n">
        <v>7851</v>
      </c>
      <c r="I70" t="n">
        <v>0</v>
      </c>
      <c r="J70" t="n">
        <v>0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s="2">
        <f>IFERROR((G70+H70)/(G70+H70+I70+J70),0)</f>
        <v/>
      </c>
      <c r="Q70" s="2">
        <f>IFERROR(G70/(G70+I70),0)</f>
        <v/>
      </c>
      <c r="R70" s="2">
        <f>IFERROR(G70/(G70+J70),0)</f>
        <v/>
      </c>
      <c r="S70" s="2">
        <f>IFERROR(2*Q70*R70/(Q70+R70),0)</f>
        <v/>
      </c>
      <c r="T70" s="2">
        <f>IFERROR(H70/(H70+I70),0)</f>
        <v/>
      </c>
      <c r="U70" s="2">
        <f>IFERROR((G70*H70-I70*J70)/SQRT((G70+I70)*(G70+J70)*(H70+I70)*(H70+J70)),0)</f>
        <v/>
      </c>
    </row>
    <row r="71">
      <c r="A71" t="n">
        <v>3</v>
      </c>
      <c r="B71" t="inlineStr">
        <is>
          <t>DecisionTree</t>
        </is>
      </c>
      <c r="C71" t="inlineStr">
        <is>
          <t>test</t>
        </is>
      </c>
      <c r="D71" t="inlineStr">
        <is>
          <t>unbalanced</t>
        </is>
      </c>
      <c r="E71" t="n">
        <v>8037</v>
      </c>
      <c r="F71" t="n">
        <v>186</v>
      </c>
      <c r="G71" t="n">
        <v>9</v>
      </c>
      <c r="H71" t="n">
        <v>2545</v>
      </c>
      <c r="I71" t="n">
        <v>72</v>
      </c>
      <c r="J71" t="n">
        <v>53</v>
      </c>
      <c r="K71" t="n">
        <v>0.95</v>
      </c>
      <c r="L71" t="n">
        <v>0.11</v>
      </c>
      <c r="M71" t="n">
        <v>0.15</v>
      </c>
      <c r="N71" t="n">
        <v>0.13</v>
      </c>
      <c r="O71" t="n">
        <v>0.5600000000000001</v>
      </c>
      <c r="P71" s="2">
        <f>IFERROR((G71+H71)/(G71+H71+I71+J71),0)</f>
        <v/>
      </c>
      <c r="Q71" s="2">
        <f>IFERROR(G71/(G71+I71),0)</f>
        <v/>
      </c>
      <c r="R71" s="2">
        <f>IFERROR(G71/(G71+J71),0)</f>
        <v/>
      </c>
      <c r="S71" s="2">
        <f>IFERROR(2*Q71*R71/(Q71+R71),0)</f>
        <v/>
      </c>
      <c r="T71" s="2">
        <f>IFERROR(H71/(H71+I71),0)</f>
        <v/>
      </c>
      <c r="U71" s="2">
        <f>IFERROR((G71*H71-I71*J71)/SQRT((G71+I71)*(G71+J71)*(H71+I71)*(H71+J71)),0)</f>
        <v/>
      </c>
    </row>
    <row r="72">
      <c r="A72" t="n">
        <v>3</v>
      </c>
      <c r="B72" t="inlineStr">
        <is>
          <t>RandomForest</t>
        </is>
      </c>
      <c r="C72" t="inlineStr">
        <is>
          <t>train</t>
        </is>
      </c>
      <c r="D72" t="inlineStr">
        <is>
          <t>unbalanced</t>
        </is>
      </c>
      <c r="E72" t="n">
        <v>8037</v>
      </c>
      <c r="F72" t="n">
        <v>186</v>
      </c>
      <c r="G72" t="n">
        <v>186</v>
      </c>
      <c r="H72" t="n">
        <v>7851</v>
      </c>
      <c r="I72" t="n">
        <v>0</v>
      </c>
      <c r="J72" t="n">
        <v>0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s="2">
        <f>IFERROR((G72+H72)/(G72+H72+I72+J72),0)</f>
        <v/>
      </c>
      <c r="Q72" s="2">
        <f>IFERROR(G72/(G72+I72),0)</f>
        <v/>
      </c>
      <c r="R72" s="2">
        <f>IFERROR(G72/(G72+J72),0)</f>
        <v/>
      </c>
      <c r="S72" s="2">
        <f>IFERROR(2*Q72*R72/(Q72+R72),0)</f>
        <v/>
      </c>
      <c r="T72" s="2">
        <f>IFERROR(H72/(H72+I72),0)</f>
        <v/>
      </c>
      <c r="U72" s="2">
        <f>IFERROR((G72*H72-I72*J72)/SQRT((G72+I72)*(G72+J72)*(H72+I72)*(H72+J72)),0)</f>
        <v/>
      </c>
    </row>
    <row r="73">
      <c r="A73" t="n">
        <v>3</v>
      </c>
      <c r="B73" t="inlineStr">
        <is>
          <t>RandomForest</t>
        </is>
      </c>
      <c r="C73" t="inlineStr">
        <is>
          <t>test</t>
        </is>
      </c>
      <c r="D73" t="inlineStr">
        <is>
          <t>unbalanced</t>
        </is>
      </c>
      <c r="E73" t="n">
        <v>8037</v>
      </c>
      <c r="F73" t="n">
        <v>186</v>
      </c>
      <c r="G73" t="n">
        <v>1</v>
      </c>
      <c r="H73" t="n">
        <v>2617</v>
      </c>
      <c r="I73" t="n">
        <v>0</v>
      </c>
      <c r="J73" t="n">
        <v>61</v>
      </c>
      <c r="K73" t="n">
        <v>0.98</v>
      </c>
      <c r="L73" t="n">
        <v>1</v>
      </c>
      <c r="M73" t="n">
        <v>0.02</v>
      </c>
      <c r="N73" t="n">
        <v>0.03</v>
      </c>
      <c r="O73" t="n">
        <v>0.76</v>
      </c>
      <c r="P73" s="2">
        <f>IFERROR((G73+H73)/(G73+H73+I73+J73),0)</f>
        <v/>
      </c>
      <c r="Q73" s="2">
        <f>IFERROR(G73/(G73+I73),0)</f>
        <v/>
      </c>
      <c r="R73" s="2">
        <f>IFERROR(G73/(G73+J73),0)</f>
        <v/>
      </c>
      <c r="S73" s="2">
        <f>IFERROR(2*Q73*R73/(Q73+R73),0)</f>
        <v/>
      </c>
      <c r="T73" s="2">
        <f>IFERROR(H73/(H73+I73),0)</f>
        <v/>
      </c>
      <c r="U73" s="2">
        <f>IFERROR((G73*H73-I73*J73)/SQRT((G73+I73)*(G73+J73)*(H73+I73)*(H73+J73)),0)</f>
        <v/>
      </c>
    </row>
    <row r="74">
      <c r="A74" t="n">
        <v>3</v>
      </c>
      <c r="B74" t="inlineStr">
        <is>
          <t>kNN</t>
        </is>
      </c>
      <c r="C74" t="inlineStr">
        <is>
          <t>train</t>
        </is>
      </c>
      <c r="D74" t="inlineStr">
        <is>
          <t>unbalanced</t>
        </is>
      </c>
      <c r="E74" t="n">
        <v>8037</v>
      </c>
      <c r="F74" t="n">
        <v>186</v>
      </c>
      <c r="G74" t="n">
        <v>23</v>
      </c>
      <c r="H74" t="n">
        <v>7845</v>
      </c>
      <c r="I74" t="n">
        <v>6</v>
      </c>
      <c r="J74" t="n">
        <v>163</v>
      </c>
      <c r="K74" t="n">
        <v>0.98</v>
      </c>
      <c r="L74" t="n">
        <v>0.79</v>
      </c>
      <c r="M74" t="n">
        <v>0.12</v>
      </c>
      <c r="N74" t="n">
        <v>0.21</v>
      </c>
      <c r="O74" t="n">
        <v>0.98</v>
      </c>
      <c r="P74" s="2">
        <f>IFERROR((G74+H74)/(G74+H74+I74+J74),0)</f>
        <v/>
      </c>
      <c r="Q74" s="2">
        <f>IFERROR(G74/(G74+I74),0)</f>
        <v/>
      </c>
      <c r="R74" s="2">
        <f>IFERROR(G74/(G74+J74),0)</f>
        <v/>
      </c>
      <c r="S74" s="2">
        <f>IFERROR(2*Q74*R74/(Q74+R74),0)</f>
        <v/>
      </c>
      <c r="T74" s="2">
        <f>IFERROR(H74/(H74+I74),0)</f>
        <v/>
      </c>
      <c r="U74" s="2">
        <f>IFERROR((G74*H74-I74*J74)/SQRT((G74+I74)*(G74+J74)*(H74+I74)*(H74+J74)),0)</f>
        <v/>
      </c>
    </row>
    <row r="75">
      <c r="A75" t="n">
        <v>3</v>
      </c>
      <c r="B75" t="inlineStr">
        <is>
          <t>kNN</t>
        </is>
      </c>
      <c r="C75" t="inlineStr">
        <is>
          <t>test</t>
        </is>
      </c>
      <c r="D75" t="inlineStr">
        <is>
          <t>unbalanced</t>
        </is>
      </c>
      <c r="E75" t="n">
        <v>8037</v>
      </c>
      <c r="F75" t="n">
        <v>186</v>
      </c>
      <c r="G75" t="n">
        <v>1</v>
      </c>
      <c r="H75" t="n">
        <v>2608</v>
      </c>
      <c r="I75" t="n">
        <v>9</v>
      </c>
      <c r="J75" t="n">
        <v>61</v>
      </c>
      <c r="K75" t="n">
        <v>0.97</v>
      </c>
      <c r="L75" t="n">
        <v>0.1</v>
      </c>
      <c r="M75" t="n">
        <v>0.02</v>
      </c>
      <c r="N75" t="n">
        <v>0.03</v>
      </c>
      <c r="O75" t="n">
        <v>0.63</v>
      </c>
      <c r="P75" s="2">
        <f>IFERROR((G75+H75)/(G75+H75+I75+J75),0)</f>
        <v/>
      </c>
      <c r="Q75" s="2">
        <f>IFERROR(G75/(G75+I75),0)</f>
        <v/>
      </c>
      <c r="R75" s="2">
        <f>IFERROR(G75/(G75+J75),0)</f>
        <v/>
      </c>
      <c r="S75" s="2">
        <f>IFERROR(2*Q75*R75/(Q75+R75),0)</f>
        <v/>
      </c>
      <c r="T75" s="2">
        <f>IFERROR(H75/(H75+I75),0)</f>
        <v/>
      </c>
      <c r="U75" s="2">
        <f>IFERROR((G75*H75-I75*J75)/SQRT((G75+I75)*(G75+J75)*(H75+I75)*(H75+J75)),0)</f>
        <v/>
      </c>
    </row>
    <row r="76">
      <c r="A76" t="n">
        <v>3</v>
      </c>
      <c r="B76" t="inlineStr">
        <is>
          <t>NaiveBayes</t>
        </is>
      </c>
      <c r="C76" t="inlineStr">
        <is>
          <t>train</t>
        </is>
      </c>
      <c r="D76" t="inlineStr">
        <is>
          <t>unbalanced</t>
        </is>
      </c>
      <c r="E76" t="n">
        <v>8037</v>
      </c>
      <c r="F76" t="n">
        <v>186</v>
      </c>
      <c r="G76" t="n">
        <v>49</v>
      </c>
      <c r="H76" t="n">
        <v>7402</v>
      </c>
      <c r="I76" t="n">
        <v>449</v>
      </c>
      <c r="J76" t="n">
        <v>137</v>
      </c>
      <c r="K76" t="n">
        <v>0.93</v>
      </c>
      <c r="L76" t="n">
        <v>0.1</v>
      </c>
      <c r="M76" t="n">
        <v>0.26</v>
      </c>
      <c r="N76" t="n">
        <v>0.14</v>
      </c>
      <c r="O76" t="n">
        <v>0.84</v>
      </c>
      <c r="P76" s="2">
        <f>IFERROR((G76+H76)/(G76+H76+I76+J76),0)</f>
        <v/>
      </c>
      <c r="Q76" s="2">
        <f>IFERROR(G76/(G76+I76),0)</f>
        <v/>
      </c>
      <c r="R76" s="2">
        <f>IFERROR(G76/(G76+J76),0)</f>
        <v/>
      </c>
      <c r="S76" s="2">
        <f>IFERROR(2*Q76*R76/(Q76+R76),0)</f>
        <v/>
      </c>
      <c r="T76" s="2">
        <f>IFERROR(H76/(H76+I76),0)</f>
        <v/>
      </c>
      <c r="U76" s="2">
        <f>IFERROR((G76*H76-I76*J76)/SQRT((G76+I76)*(G76+J76)*(H76+I76)*(H76+J76)),0)</f>
        <v/>
      </c>
    </row>
    <row r="77">
      <c r="A77" t="n">
        <v>3</v>
      </c>
      <c r="B77" t="inlineStr">
        <is>
          <t>NaiveBayes</t>
        </is>
      </c>
      <c r="C77" t="inlineStr">
        <is>
          <t>test</t>
        </is>
      </c>
      <c r="D77" t="inlineStr">
        <is>
          <t>unbalanced</t>
        </is>
      </c>
      <c r="E77" t="n">
        <v>8037</v>
      </c>
      <c r="F77" t="n">
        <v>186</v>
      </c>
      <c r="G77" t="n">
        <v>14</v>
      </c>
      <c r="H77" t="n">
        <v>2439</v>
      </c>
      <c r="I77" t="n">
        <v>178</v>
      </c>
      <c r="J77" t="n">
        <v>48</v>
      </c>
      <c r="K77" t="n">
        <v>0.92</v>
      </c>
      <c r="L77" t="n">
        <v>0.07000000000000001</v>
      </c>
      <c r="M77" t="n">
        <v>0.23</v>
      </c>
      <c r="N77" t="n">
        <v>0.11</v>
      </c>
      <c r="O77" t="n">
        <v>0.78</v>
      </c>
      <c r="P77" s="2">
        <f>IFERROR((G77+H77)/(G77+H77+I77+J77),0)</f>
        <v/>
      </c>
      <c r="Q77" s="2">
        <f>IFERROR(G77/(G77+I77),0)</f>
        <v/>
      </c>
      <c r="R77" s="2">
        <f>IFERROR(G77/(G77+J77),0)</f>
        <v/>
      </c>
      <c r="S77" s="2">
        <f>IFERROR(2*Q77*R77/(Q77+R77),0)</f>
        <v/>
      </c>
      <c r="T77" s="2">
        <f>IFERROR(H77/(H77+I77),0)</f>
        <v/>
      </c>
      <c r="U77" s="2">
        <f>IFERROR((G77*H77-I77*J77)/SQRT((G77+I77)*(G77+J77)*(H77+I77)*(H77+J77)),0)</f>
        <v/>
      </c>
    </row>
    <row r="78">
      <c r="A78" t="n">
        <v>3</v>
      </c>
      <c r="B78" t="inlineStr">
        <is>
          <t>SVM</t>
        </is>
      </c>
      <c r="C78" t="inlineStr">
        <is>
          <t>train</t>
        </is>
      </c>
      <c r="D78" t="inlineStr">
        <is>
          <t>unbalanced</t>
        </is>
      </c>
      <c r="E78" t="n">
        <v>8037</v>
      </c>
      <c r="F78" t="n">
        <v>186</v>
      </c>
      <c r="G78" t="n">
        <v>0</v>
      </c>
      <c r="H78" t="n">
        <v>7851</v>
      </c>
      <c r="I78" t="n">
        <v>0</v>
      </c>
      <c r="J78" t="n">
        <v>186</v>
      </c>
      <c r="K78" t="n">
        <v>0.98</v>
      </c>
      <c r="L78" t="n">
        <v>0</v>
      </c>
      <c r="M78" t="n">
        <v>0</v>
      </c>
      <c r="N78" t="n">
        <v>0</v>
      </c>
      <c r="O78" t="n">
        <v>0.91</v>
      </c>
      <c r="P78" s="2">
        <f>IFERROR((G78+H78)/(G78+H78+I78+J78),0)</f>
        <v/>
      </c>
      <c r="Q78" s="2">
        <f>IFERROR(G78/(G78+I78),0)</f>
        <v/>
      </c>
      <c r="R78" s="2">
        <f>IFERROR(G78/(G78+J78),0)</f>
        <v/>
      </c>
      <c r="S78" s="2">
        <f>IFERROR(2*Q78*R78/(Q78+R78),0)</f>
        <v/>
      </c>
      <c r="T78" s="2">
        <f>IFERROR(H78/(H78+I78),0)</f>
        <v/>
      </c>
      <c r="U78" s="2">
        <f>IFERROR((G78*H78-I78*J78)/SQRT((G78+I78)*(G78+J78)*(H78+I78)*(H78+J78)),0)</f>
        <v/>
      </c>
    </row>
    <row r="79">
      <c r="A79" t="n">
        <v>3</v>
      </c>
      <c r="B79" t="inlineStr">
        <is>
          <t>SVM</t>
        </is>
      </c>
      <c r="C79" t="inlineStr">
        <is>
          <t>test</t>
        </is>
      </c>
      <c r="D79" t="inlineStr">
        <is>
          <t>unbalanced</t>
        </is>
      </c>
      <c r="E79" t="n">
        <v>8037</v>
      </c>
      <c r="F79" t="n">
        <v>186</v>
      </c>
      <c r="G79" t="n">
        <v>0</v>
      </c>
      <c r="H79" t="n">
        <v>2617</v>
      </c>
      <c r="I79" t="n">
        <v>0</v>
      </c>
      <c r="J79" t="n">
        <v>62</v>
      </c>
      <c r="K79" t="n">
        <v>0.98</v>
      </c>
      <c r="L79" t="n">
        <v>0</v>
      </c>
      <c r="M79" t="n">
        <v>0</v>
      </c>
      <c r="N79" t="n">
        <v>0</v>
      </c>
      <c r="O79" t="n">
        <v>0.6899999999999999</v>
      </c>
      <c r="P79" s="2">
        <f>IFERROR((G79+H79)/(G79+H79+I79+J79),0)</f>
        <v/>
      </c>
      <c r="Q79" s="2">
        <f>IFERROR(G79/(G79+I79),0)</f>
        <v/>
      </c>
      <c r="R79" s="2">
        <f>IFERROR(G79/(G79+J79),0)</f>
        <v/>
      </c>
      <c r="S79" s="2">
        <f>IFERROR(2*Q79*R79/(Q79+R79),0)</f>
        <v/>
      </c>
      <c r="T79" s="2">
        <f>IFERROR(H79/(H79+I79),0)</f>
        <v/>
      </c>
      <c r="U79" s="2">
        <f>IFERROR((G79*H79-I79*J79)/SQRT((G79+I79)*(G79+J79)*(H79+I79)*(H79+J79)),0)</f>
        <v/>
      </c>
    </row>
    <row r="80">
      <c r="A80" t="n">
        <v>3</v>
      </c>
      <c r="B80" t="inlineStr">
        <is>
          <t>GradientBoosting</t>
        </is>
      </c>
      <c r="C80" t="inlineStr">
        <is>
          <t>train</t>
        </is>
      </c>
      <c r="D80" t="inlineStr">
        <is>
          <t>unbalanced</t>
        </is>
      </c>
      <c r="E80" t="n">
        <v>8037</v>
      </c>
      <c r="F80" t="n">
        <v>186</v>
      </c>
      <c r="G80" t="n">
        <v>54</v>
      </c>
      <c r="H80" t="n">
        <v>7851</v>
      </c>
      <c r="I80" t="n">
        <v>0</v>
      </c>
      <c r="J80" t="n">
        <v>132</v>
      </c>
      <c r="K80" t="n">
        <v>0.98</v>
      </c>
      <c r="L80" t="n">
        <v>1</v>
      </c>
      <c r="M80" t="n">
        <v>0.29</v>
      </c>
      <c r="N80" t="n">
        <v>0.45</v>
      </c>
      <c r="O80" t="n">
        <v>0.97</v>
      </c>
      <c r="P80" s="2">
        <f>IFERROR((G80+H80)/(G80+H80+I80+J80),0)</f>
        <v/>
      </c>
      <c r="Q80" s="2">
        <f>IFERROR(G80/(G80+I80),0)</f>
        <v/>
      </c>
      <c r="R80" s="2">
        <f>IFERROR(G80/(G80+J80),0)</f>
        <v/>
      </c>
      <c r="S80" s="2">
        <f>IFERROR(2*Q80*R80/(Q80+R80),0)</f>
        <v/>
      </c>
      <c r="T80" s="2">
        <f>IFERROR(H80/(H80+I80),0)</f>
        <v/>
      </c>
      <c r="U80" s="2">
        <f>IFERROR((G80*H80-I80*J80)/SQRT((G80+I80)*(G80+J80)*(H80+I80)*(H80+J80)),0)</f>
        <v/>
      </c>
    </row>
    <row r="81">
      <c r="A81" t="n">
        <v>3</v>
      </c>
      <c r="B81" t="inlineStr">
        <is>
          <t>GradientBoosting</t>
        </is>
      </c>
      <c r="C81" t="inlineStr">
        <is>
          <t>test</t>
        </is>
      </c>
      <c r="D81" t="inlineStr">
        <is>
          <t>unbalanced</t>
        </is>
      </c>
      <c r="E81" t="n">
        <v>8037</v>
      </c>
      <c r="F81" t="n">
        <v>186</v>
      </c>
      <c r="G81" t="n">
        <v>3</v>
      </c>
      <c r="H81" t="n">
        <v>2608</v>
      </c>
      <c r="I81" t="n">
        <v>9</v>
      </c>
      <c r="J81" t="n">
        <v>59</v>
      </c>
      <c r="K81" t="n">
        <v>0.97</v>
      </c>
      <c r="L81" t="n">
        <v>0.25</v>
      </c>
      <c r="M81" t="n">
        <v>0.05</v>
      </c>
      <c r="N81" t="n">
        <v>0.08</v>
      </c>
      <c r="O81" t="n">
        <v>0.8</v>
      </c>
      <c r="P81" s="2">
        <f>IFERROR((G81+H81)/(G81+H81+I81+J81),0)</f>
        <v/>
      </c>
      <c r="Q81" s="2">
        <f>IFERROR(G81/(G81+I81),0)</f>
        <v/>
      </c>
      <c r="R81" s="2">
        <f>IFERROR(G81/(G81+J81),0)</f>
        <v/>
      </c>
      <c r="S81" s="2">
        <f>IFERROR(2*Q81*R81/(Q81+R81),0)</f>
        <v/>
      </c>
      <c r="T81" s="2">
        <f>IFERROR(H81/(H81+I81),0)</f>
        <v/>
      </c>
      <c r="U81" s="2">
        <f>IFERROR((G81*H81-I81*J81)/SQRT((G81+I81)*(G81+J81)*(H81+I81)*(H81+J81)),0)</f>
        <v/>
      </c>
    </row>
    <row r="82">
      <c r="A82" t="n">
        <v>3</v>
      </c>
      <c r="B82" t="inlineStr">
        <is>
          <t>LDA</t>
        </is>
      </c>
      <c r="C82" t="inlineStr">
        <is>
          <t>train</t>
        </is>
      </c>
      <c r="D82" t="inlineStr">
        <is>
          <t>balanced</t>
        </is>
      </c>
      <c r="E82" t="n">
        <v>744</v>
      </c>
      <c r="F82" t="n">
        <v>186</v>
      </c>
      <c r="G82" t="n">
        <v>83</v>
      </c>
      <c r="H82" t="n">
        <v>522</v>
      </c>
      <c r="I82" t="n">
        <v>36</v>
      </c>
      <c r="J82" t="n">
        <v>103</v>
      </c>
      <c r="K82" t="n">
        <v>0.8100000000000001</v>
      </c>
      <c r="L82" t="n">
        <v>0.7</v>
      </c>
      <c r="M82" t="n">
        <v>0.45</v>
      </c>
      <c r="N82" t="n">
        <v>0.54</v>
      </c>
      <c r="O82" t="n">
        <v>0.86</v>
      </c>
      <c r="P82" s="2">
        <f>IFERROR((G82+H82)/(G82+H82+I82+J82),0)</f>
        <v/>
      </c>
      <c r="Q82" s="2">
        <f>IFERROR(G82/(G82+I82),0)</f>
        <v/>
      </c>
      <c r="R82" s="2">
        <f>IFERROR(G82/(G82+J82),0)</f>
        <v/>
      </c>
      <c r="S82" s="2">
        <f>IFERROR(2*Q82*R82/(Q82+R82),0)</f>
        <v/>
      </c>
      <c r="T82" s="2">
        <f>IFERROR(H82/(H82+I82),0)</f>
        <v/>
      </c>
      <c r="U82" s="2">
        <f>IFERROR((G82*H82-I82*J82)/SQRT((G82+I82)*(G82+J82)*(H82+I82)*(H82+J82)),0)</f>
        <v/>
      </c>
    </row>
    <row r="83">
      <c r="A83" t="n">
        <v>3</v>
      </c>
      <c r="B83" t="inlineStr">
        <is>
          <t>LDA</t>
        </is>
      </c>
      <c r="C83" t="inlineStr">
        <is>
          <t>test</t>
        </is>
      </c>
      <c r="D83" t="inlineStr">
        <is>
          <t>balanced</t>
        </is>
      </c>
      <c r="E83" t="n">
        <v>744</v>
      </c>
      <c r="F83" t="n">
        <v>186</v>
      </c>
      <c r="G83" t="n">
        <v>20</v>
      </c>
      <c r="H83" t="n">
        <v>2397</v>
      </c>
      <c r="I83" t="n">
        <v>220</v>
      </c>
      <c r="J83" t="n">
        <v>42</v>
      </c>
      <c r="K83" t="n">
        <v>0.9</v>
      </c>
      <c r="L83" t="n">
        <v>0.08</v>
      </c>
      <c r="M83" t="n">
        <v>0.32</v>
      </c>
      <c r="N83" t="n">
        <v>0.13</v>
      </c>
      <c r="O83" t="n">
        <v>0.8</v>
      </c>
      <c r="P83" s="2">
        <f>IFERROR((G83+H83)/(G83+H83+I83+J83),0)</f>
        <v/>
      </c>
      <c r="Q83" s="2">
        <f>IFERROR(G83/(G83+I83),0)</f>
        <v/>
      </c>
      <c r="R83" s="2">
        <f>IFERROR(G83/(G83+J83),0)</f>
        <v/>
      </c>
      <c r="S83" s="2">
        <f>IFERROR(2*Q83*R83/(Q83+R83),0)</f>
        <v/>
      </c>
      <c r="T83" s="2">
        <f>IFERROR(H83/(H83+I83),0)</f>
        <v/>
      </c>
      <c r="U83" s="2">
        <f>IFERROR((G83*H83-I83*J83)/SQRT((G83+I83)*(G83+J83)*(H83+I83)*(H83+J83)),0)</f>
        <v/>
      </c>
    </row>
    <row r="84">
      <c r="A84" t="n">
        <v>3</v>
      </c>
      <c r="B84" t="inlineStr">
        <is>
          <t>LogisticRegression</t>
        </is>
      </c>
      <c r="C84" t="inlineStr">
        <is>
          <t>train</t>
        </is>
      </c>
      <c r="D84" t="inlineStr">
        <is>
          <t>balanced</t>
        </is>
      </c>
      <c r="E84" t="n">
        <v>744</v>
      </c>
      <c r="F84" t="n">
        <v>186</v>
      </c>
      <c r="G84" t="n">
        <v>76</v>
      </c>
      <c r="H84" t="n">
        <v>533</v>
      </c>
      <c r="I84" t="n">
        <v>25</v>
      </c>
      <c r="J84" t="n">
        <v>110</v>
      </c>
      <c r="K84" t="n">
        <v>0.82</v>
      </c>
      <c r="L84" t="n">
        <v>0.75</v>
      </c>
      <c r="M84" t="n">
        <v>0.41</v>
      </c>
      <c r="N84" t="n">
        <v>0.53</v>
      </c>
      <c r="O84" t="n">
        <v>0.86</v>
      </c>
      <c r="P84" s="2">
        <f>IFERROR((G84+H84)/(G84+H84+I84+J84),0)</f>
        <v/>
      </c>
      <c r="Q84" s="2">
        <f>IFERROR(G84/(G84+I84),0)</f>
        <v/>
      </c>
      <c r="R84" s="2">
        <f>IFERROR(G84/(G84+J84),0)</f>
        <v/>
      </c>
      <c r="S84" s="2">
        <f>IFERROR(2*Q84*R84/(Q84+R84),0)</f>
        <v/>
      </c>
      <c r="T84" s="2">
        <f>IFERROR(H84/(H84+I84),0)</f>
        <v/>
      </c>
      <c r="U84" s="2">
        <f>IFERROR((G84*H84-I84*J84)/SQRT((G84+I84)*(G84+J84)*(H84+I84)*(H84+J84)),0)</f>
        <v/>
      </c>
    </row>
    <row r="85">
      <c r="A85" t="n">
        <v>3</v>
      </c>
      <c r="B85" t="inlineStr">
        <is>
          <t>LogisticRegression</t>
        </is>
      </c>
      <c r="C85" t="inlineStr">
        <is>
          <t>test</t>
        </is>
      </c>
      <c r="D85" t="inlineStr">
        <is>
          <t>balanced</t>
        </is>
      </c>
      <c r="E85" t="n">
        <v>744</v>
      </c>
      <c r="F85" t="n">
        <v>186</v>
      </c>
      <c r="G85" t="n">
        <v>17</v>
      </c>
      <c r="H85" t="n">
        <v>2428</v>
      </c>
      <c r="I85" t="n">
        <v>189</v>
      </c>
      <c r="J85" t="n">
        <v>45</v>
      </c>
      <c r="K85" t="n">
        <v>0.91</v>
      </c>
      <c r="L85" t="n">
        <v>0.08</v>
      </c>
      <c r="M85" t="n">
        <v>0.27</v>
      </c>
      <c r="N85" t="n">
        <v>0.13</v>
      </c>
      <c r="O85" t="n">
        <v>0.8</v>
      </c>
      <c r="P85" s="2">
        <f>IFERROR((G85+H85)/(G85+H85+I85+J85),0)</f>
        <v/>
      </c>
      <c r="Q85" s="2">
        <f>IFERROR(G85/(G85+I85),0)</f>
        <v/>
      </c>
      <c r="R85" s="2">
        <f>IFERROR(G85/(G85+J85),0)</f>
        <v/>
      </c>
      <c r="S85" s="2">
        <f>IFERROR(2*Q85*R85/(Q85+R85),0)</f>
        <v/>
      </c>
      <c r="T85" s="2">
        <f>IFERROR(H85/(H85+I85),0)</f>
        <v/>
      </c>
      <c r="U85" s="2">
        <f>IFERROR((G85*H85-I85*J85)/SQRT((G85+I85)*(G85+J85)*(H85+I85)*(H85+J85)),0)</f>
        <v/>
      </c>
    </row>
    <row r="86">
      <c r="A86" t="n">
        <v>3</v>
      </c>
      <c r="B86" t="inlineStr">
        <is>
          <t>DecisionTree</t>
        </is>
      </c>
      <c r="C86" t="inlineStr">
        <is>
          <t>train</t>
        </is>
      </c>
      <c r="D86" t="inlineStr">
        <is>
          <t>balanced</t>
        </is>
      </c>
      <c r="E86" t="n">
        <v>744</v>
      </c>
      <c r="F86" t="n">
        <v>186</v>
      </c>
      <c r="G86" t="n">
        <v>186</v>
      </c>
      <c r="H86" t="n">
        <v>558</v>
      </c>
      <c r="I86" t="n">
        <v>0</v>
      </c>
      <c r="J86" t="n">
        <v>0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s="2">
        <f>IFERROR((G86+H86)/(G86+H86+I86+J86),0)</f>
        <v/>
      </c>
      <c r="Q86" s="2">
        <f>IFERROR(G86/(G86+I86),0)</f>
        <v/>
      </c>
      <c r="R86" s="2">
        <f>IFERROR(G86/(G86+J86),0)</f>
        <v/>
      </c>
      <c r="S86" s="2">
        <f>IFERROR(2*Q86*R86/(Q86+R86),0)</f>
        <v/>
      </c>
      <c r="T86" s="2">
        <f>IFERROR(H86/(H86+I86),0)</f>
        <v/>
      </c>
      <c r="U86" s="2">
        <f>IFERROR((G86*H86-I86*J86)/SQRT((G86+I86)*(G86+J86)*(H86+I86)*(H86+J86)),0)</f>
        <v/>
      </c>
    </row>
    <row r="87">
      <c r="A87" t="n">
        <v>3</v>
      </c>
      <c r="B87" t="inlineStr">
        <is>
          <t>DecisionTree</t>
        </is>
      </c>
      <c r="C87" t="inlineStr">
        <is>
          <t>test</t>
        </is>
      </c>
      <c r="D87" t="inlineStr">
        <is>
          <t>balanced</t>
        </is>
      </c>
      <c r="E87" t="n">
        <v>744</v>
      </c>
      <c r="F87" t="n">
        <v>186</v>
      </c>
      <c r="G87" t="n">
        <v>26</v>
      </c>
      <c r="H87" t="n">
        <v>2170</v>
      </c>
      <c r="I87" t="n">
        <v>447</v>
      </c>
      <c r="J87" t="n">
        <v>36</v>
      </c>
      <c r="K87" t="n">
        <v>0.82</v>
      </c>
      <c r="L87" t="n">
        <v>0.05</v>
      </c>
      <c r="M87" t="n">
        <v>0.42</v>
      </c>
      <c r="N87" t="n">
        <v>0.1</v>
      </c>
      <c r="O87" t="n">
        <v>0.62</v>
      </c>
      <c r="P87" s="2">
        <f>IFERROR((G87+H87)/(G87+H87+I87+J87),0)</f>
        <v/>
      </c>
      <c r="Q87" s="2">
        <f>IFERROR(G87/(G87+I87),0)</f>
        <v/>
      </c>
      <c r="R87" s="2">
        <f>IFERROR(G87/(G87+J87),0)</f>
        <v/>
      </c>
      <c r="S87" s="2">
        <f>IFERROR(2*Q87*R87/(Q87+R87),0)</f>
        <v/>
      </c>
      <c r="T87" s="2">
        <f>IFERROR(H87/(H87+I87),0)</f>
        <v/>
      </c>
      <c r="U87" s="2">
        <f>IFERROR((G87*H87-I87*J87)/SQRT((G87+I87)*(G87+J87)*(H87+I87)*(H87+J87)),0)</f>
        <v/>
      </c>
    </row>
    <row r="88">
      <c r="A88" t="n">
        <v>3</v>
      </c>
      <c r="B88" t="inlineStr">
        <is>
          <t>RandomForest</t>
        </is>
      </c>
      <c r="C88" t="inlineStr">
        <is>
          <t>train</t>
        </is>
      </c>
      <c r="D88" t="inlineStr">
        <is>
          <t>balanced</t>
        </is>
      </c>
      <c r="E88" t="n">
        <v>744</v>
      </c>
      <c r="F88" t="n">
        <v>186</v>
      </c>
      <c r="G88" t="n">
        <v>186</v>
      </c>
      <c r="H88" t="n">
        <v>558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s="2">
        <f>IFERROR((G88+H88)/(G88+H88+I88+J88),0)</f>
        <v/>
      </c>
      <c r="Q88" s="2">
        <f>IFERROR(G88/(G88+I88),0)</f>
        <v/>
      </c>
      <c r="R88" s="2">
        <f>IFERROR(G88/(G88+J88),0)</f>
        <v/>
      </c>
      <c r="S88" s="2">
        <f>IFERROR(2*Q88*R88/(Q88+R88),0)</f>
        <v/>
      </c>
      <c r="T88" s="2">
        <f>IFERROR(H88/(H88+I88),0)</f>
        <v/>
      </c>
      <c r="U88" s="2">
        <f>IFERROR((G88*H88-I88*J88)/SQRT((G88+I88)*(G88+J88)*(H88+I88)*(H88+J88)),0)</f>
        <v/>
      </c>
    </row>
    <row r="89">
      <c r="A89" t="n">
        <v>3</v>
      </c>
      <c r="B89" t="inlineStr">
        <is>
          <t>RandomForest</t>
        </is>
      </c>
      <c r="C89" t="inlineStr">
        <is>
          <t>test</t>
        </is>
      </c>
      <c r="D89" t="inlineStr">
        <is>
          <t>balanced</t>
        </is>
      </c>
      <c r="E89" t="n">
        <v>744</v>
      </c>
      <c r="F89" t="n">
        <v>186</v>
      </c>
      <c r="G89" t="n">
        <v>22</v>
      </c>
      <c r="H89" t="n">
        <v>2408</v>
      </c>
      <c r="I89" t="n">
        <v>209</v>
      </c>
      <c r="J89" t="n">
        <v>40</v>
      </c>
      <c r="K89" t="n">
        <v>0.91</v>
      </c>
      <c r="L89" t="n">
        <v>0.1</v>
      </c>
      <c r="M89" t="n">
        <v>0.35</v>
      </c>
      <c r="N89" t="n">
        <v>0.15</v>
      </c>
      <c r="O89" t="n">
        <v>0.78</v>
      </c>
      <c r="P89" s="2">
        <f>IFERROR((G89+H89)/(G89+H89+I89+J89),0)</f>
        <v/>
      </c>
      <c r="Q89" s="2">
        <f>IFERROR(G89/(G89+I89),0)</f>
        <v/>
      </c>
      <c r="R89" s="2">
        <f>IFERROR(G89/(G89+J89),0)</f>
        <v/>
      </c>
      <c r="S89" s="2">
        <f>IFERROR(2*Q89*R89/(Q89+R89),0)</f>
        <v/>
      </c>
      <c r="T89" s="2">
        <f>IFERROR(H89/(H89+I89),0)</f>
        <v/>
      </c>
      <c r="U89" s="2">
        <f>IFERROR((G89*H89-I89*J89)/SQRT((G89+I89)*(G89+J89)*(H89+I89)*(H89+J89)),0)</f>
        <v/>
      </c>
    </row>
    <row r="90">
      <c r="A90" t="n">
        <v>3</v>
      </c>
      <c r="B90" t="inlineStr">
        <is>
          <t>kNN</t>
        </is>
      </c>
      <c r="C90" t="inlineStr">
        <is>
          <t>train</t>
        </is>
      </c>
      <c r="D90" t="inlineStr">
        <is>
          <t>balanced</t>
        </is>
      </c>
      <c r="E90" t="n">
        <v>744</v>
      </c>
      <c r="F90" t="n">
        <v>186</v>
      </c>
      <c r="G90" t="n">
        <v>115</v>
      </c>
      <c r="H90" t="n">
        <v>523</v>
      </c>
      <c r="I90" t="n">
        <v>35</v>
      </c>
      <c r="J90" t="n">
        <v>71</v>
      </c>
      <c r="K90" t="n">
        <v>0.86</v>
      </c>
      <c r="L90" t="n">
        <v>0.77</v>
      </c>
      <c r="M90" t="n">
        <v>0.62</v>
      </c>
      <c r="N90" t="n">
        <v>0.68</v>
      </c>
      <c r="O90" t="n">
        <v>0.92</v>
      </c>
      <c r="P90" s="2">
        <f>IFERROR((G90+H90)/(G90+H90+I90+J90),0)</f>
        <v/>
      </c>
      <c r="Q90" s="2">
        <f>IFERROR(G90/(G90+I90),0)</f>
        <v/>
      </c>
      <c r="R90" s="2">
        <f>IFERROR(G90/(G90+J90),0)</f>
        <v/>
      </c>
      <c r="S90" s="2">
        <f>IFERROR(2*Q90*R90/(Q90+R90),0)</f>
        <v/>
      </c>
      <c r="T90" s="2">
        <f>IFERROR(H90/(H90+I90),0)</f>
        <v/>
      </c>
      <c r="U90" s="2">
        <f>IFERROR((G90*H90-I90*J90)/SQRT((G90+I90)*(G90+J90)*(H90+I90)*(H90+J90)),0)</f>
        <v/>
      </c>
    </row>
    <row r="91">
      <c r="A91" t="n">
        <v>3</v>
      </c>
      <c r="B91" t="inlineStr">
        <is>
          <t>kNN</t>
        </is>
      </c>
      <c r="C91" t="inlineStr">
        <is>
          <t>test</t>
        </is>
      </c>
      <c r="D91" t="inlineStr">
        <is>
          <t>balanced</t>
        </is>
      </c>
      <c r="E91" t="n">
        <v>744</v>
      </c>
      <c r="F91" t="n">
        <v>186</v>
      </c>
      <c r="G91" t="n">
        <v>16</v>
      </c>
      <c r="H91" t="n">
        <v>2364</v>
      </c>
      <c r="I91" t="n">
        <v>253</v>
      </c>
      <c r="J91" t="n">
        <v>46</v>
      </c>
      <c r="K91" t="n">
        <v>0.89</v>
      </c>
      <c r="L91" t="n">
        <v>0.06</v>
      </c>
      <c r="M91" t="n">
        <v>0.26</v>
      </c>
      <c r="N91" t="n">
        <v>0.1</v>
      </c>
      <c r="O91" t="n">
        <v>0.72</v>
      </c>
      <c r="P91" s="2">
        <f>IFERROR((G91+H91)/(G91+H91+I91+J91),0)</f>
        <v/>
      </c>
      <c r="Q91" s="2">
        <f>IFERROR(G91/(G91+I91),0)</f>
        <v/>
      </c>
      <c r="R91" s="2">
        <f>IFERROR(G91/(G91+J91),0)</f>
        <v/>
      </c>
      <c r="S91" s="2">
        <f>IFERROR(2*Q91*R91/(Q91+R91),0)</f>
        <v/>
      </c>
      <c r="T91" s="2">
        <f>IFERROR(H91/(H91+I91),0)</f>
        <v/>
      </c>
      <c r="U91" s="2">
        <f>IFERROR((G91*H91-I91*J91)/SQRT((G91+I91)*(G91+J91)*(H91+I91)*(H91+J91)),0)</f>
        <v/>
      </c>
    </row>
    <row r="92">
      <c r="A92" t="n">
        <v>3</v>
      </c>
      <c r="B92" t="inlineStr">
        <is>
          <t>NaiveBayes</t>
        </is>
      </c>
      <c r="C92" t="inlineStr">
        <is>
          <t>train</t>
        </is>
      </c>
      <c r="D92" t="inlineStr">
        <is>
          <t>balanced</t>
        </is>
      </c>
      <c r="E92" t="n">
        <v>744</v>
      </c>
      <c r="F92" t="n">
        <v>186</v>
      </c>
      <c r="G92" t="n">
        <v>91</v>
      </c>
      <c r="H92" t="n">
        <v>495</v>
      </c>
      <c r="I92" t="n">
        <v>63</v>
      </c>
      <c r="J92" t="n">
        <v>95</v>
      </c>
      <c r="K92" t="n">
        <v>0.79</v>
      </c>
      <c r="L92" t="n">
        <v>0.59</v>
      </c>
      <c r="M92" t="n">
        <v>0.49</v>
      </c>
      <c r="N92" t="n">
        <v>0.54</v>
      </c>
      <c r="O92" t="n">
        <v>0.84</v>
      </c>
      <c r="P92" s="2">
        <f>IFERROR((G92+H92)/(G92+H92+I92+J92),0)</f>
        <v/>
      </c>
      <c r="Q92" s="2">
        <f>IFERROR(G92/(G92+I92),0)</f>
        <v/>
      </c>
      <c r="R92" s="2">
        <f>IFERROR(G92/(G92+J92),0)</f>
        <v/>
      </c>
      <c r="S92" s="2">
        <f>IFERROR(2*Q92*R92/(Q92+R92),0)</f>
        <v/>
      </c>
      <c r="T92" s="2">
        <f>IFERROR(H92/(H92+I92),0)</f>
        <v/>
      </c>
      <c r="U92" s="2">
        <f>IFERROR((G92*H92-I92*J92)/SQRT((G92+I92)*(G92+J92)*(H92+I92)*(H92+J92)),0)</f>
        <v/>
      </c>
    </row>
    <row r="93">
      <c r="A93" t="n">
        <v>3</v>
      </c>
      <c r="B93" t="inlineStr">
        <is>
          <t>NaiveBayes</t>
        </is>
      </c>
      <c r="C93" t="inlineStr">
        <is>
          <t>test</t>
        </is>
      </c>
      <c r="D93" t="inlineStr">
        <is>
          <t>balanced</t>
        </is>
      </c>
      <c r="E93" t="n">
        <v>744</v>
      </c>
      <c r="F93" t="n">
        <v>186</v>
      </c>
      <c r="G93" t="n">
        <v>21</v>
      </c>
      <c r="H93" t="n">
        <v>2289</v>
      </c>
      <c r="I93" t="n">
        <v>328</v>
      </c>
      <c r="J93" t="n">
        <v>41</v>
      </c>
      <c r="K93" t="n">
        <v>0.86</v>
      </c>
      <c r="L93" t="n">
        <v>0.06</v>
      </c>
      <c r="M93" t="n">
        <v>0.34</v>
      </c>
      <c r="N93" t="n">
        <v>0.1</v>
      </c>
      <c r="O93" t="n">
        <v>0.78</v>
      </c>
      <c r="P93" s="2">
        <f>IFERROR((G93+H93)/(G93+H93+I93+J93),0)</f>
        <v/>
      </c>
      <c r="Q93" s="2">
        <f>IFERROR(G93/(G93+I93),0)</f>
        <v/>
      </c>
      <c r="R93" s="2">
        <f>IFERROR(G93/(G93+J93),0)</f>
        <v/>
      </c>
      <c r="S93" s="2">
        <f>IFERROR(2*Q93*R93/(Q93+R93),0)</f>
        <v/>
      </c>
      <c r="T93" s="2">
        <f>IFERROR(H93/(H93+I93),0)</f>
        <v/>
      </c>
      <c r="U93" s="2">
        <f>IFERROR((G93*H93-I93*J93)/SQRT((G93+I93)*(G93+J93)*(H93+I93)*(H93+J93)),0)</f>
        <v/>
      </c>
    </row>
    <row r="94">
      <c r="A94" t="n">
        <v>3</v>
      </c>
      <c r="B94" t="inlineStr">
        <is>
          <t>SVM</t>
        </is>
      </c>
      <c r="C94" t="inlineStr">
        <is>
          <t>train</t>
        </is>
      </c>
      <c r="D94" t="inlineStr">
        <is>
          <t>balanced</t>
        </is>
      </c>
      <c r="E94" t="n">
        <v>744</v>
      </c>
      <c r="F94" t="n">
        <v>186</v>
      </c>
      <c r="G94" t="n">
        <v>92</v>
      </c>
      <c r="H94" t="n">
        <v>533</v>
      </c>
      <c r="I94" t="n">
        <v>25</v>
      </c>
      <c r="J94" t="n">
        <v>94</v>
      </c>
      <c r="K94" t="n">
        <v>0.84</v>
      </c>
      <c r="L94" t="n">
        <v>0.79</v>
      </c>
      <c r="M94" t="n">
        <v>0.49</v>
      </c>
      <c r="N94" t="n">
        <v>0.61</v>
      </c>
      <c r="O94" t="n">
        <v>0.89</v>
      </c>
      <c r="P94" s="2">
        <f>IFERROR((G94+H94)/(G94+H94+I94+J94),0)</f>
        <v/>
      </c>
      <c r="Q94" s="2">
        <f>IFERROR(G94/(G94+I94),0)</f>
        <v/>
      </c>
      <c r="R94" s="2">
        <f>IFERROR(G94/(G94+J94),0)</f>
        <v/>
      </c>
      <c r="S94" s="2">
        <f>IFERROR(2*Q94*R94/(Q94+R94),0)</f>
        <v/>
      </c>
      <c r="T94" s="2">
        <f>IFERROR(H94/(H94+I94),0)</f>
        <v/>
      </c>
      <c r="U94" s="2">
        <f>IFERROR((G94*H94-I94*J94)/SQRT((G94+I94)*(G94+J94)*(H94+I94)*(H94+J94)),0)</f>
        <v/>
      </c>
    </row>
    <row r="95">
      <c r="A95" t="n">
        <v>3</v>
      </c>
      <c r="B95" t="inlineStr">
        <is>
          <t>SVM</t>
        </is>
      </c>
      <c r="C95" t="inlineStr">
        <is>
          <t>test</t>
        </is>
      </c>
      <c r="D95" t="inlineStr">
        <is>
          <t>balanced</t>
        </is>
      </c>
      <c r="E95" t="n">
        <v>744</v>
      </c>
      <c r="F95" t="n">
        <v>186</v>
      </c>
      <c r="G95" t="n">
        <v>15</v>
      </c>
      <c r="H95" t="n">
        <v>2449</v>
      </c>
      <c r="I95" t="n">
        <v>168</v>
      </c>
      <c r="J95" t="n">
        <v>47</v>
      </c>
      <c r="K95" t="n">
        <v>0.92</v>
      </c>
      <c r="L95" t="n">
        <v>0.08</v>
      </c>
      <c r="M95" t="n">
        <v>0.24</v>
      </c>
      <c r="N95" t="n">
        <v>0.12</v>
      </c>
      <c r="O95" t="n">
        <v>0.76</v>
      </c>
      <c r="P95" s="2">
        <f>IFERROR((G95+H95)/(G95+H95+I95+J95),0)</f>
        <v/>
      </c>
      <c r="Q95" s="2">
        <f>IFERROR(G95/(G95+I95),0)</f>
        <v/>
      </c>
      <c r="R95" s="2">
        <f>IFERROR(G95/(G95+J95),0)</f>
        <v/>
      </c>
      <c r="S95" s="2">
        <f>IFERROR(2*Q95*R95/(Q95+R95),0)</f>
        <v/>
      </c>
      <c r="T95" s="2">
        <f>IFERROR(H95/(H95+I95),0)</f>
        <v/>
      </c>
      <c r="U95" s="2">
        <f>IFERROR((G95*H95-I95*J95)/SQRT((G95+I95)*(G95+J95)*(H95+I95)*(H95+J95)),0)</f>
        <v/>
      </c>
    </row>
    <row r="96">
      <c r="A96" t="n">
        <v>3</v>
      </c>
      <c r="B96" t="inlineStr">
        <is>
          <t>GradientBoosting</t>
        </is>
      </c>
      <c r="C96" t="inlineStr">
        <is>
          <t>train</t>
        </is>
      </c>
      <c r="D96" t="inlineStr">
        <is>
          <t>balanced</t>
        </is>
      </c>
      <c r="E96" t="n">
        <v>744</v>
      </c>
      <c r="F96" t="n">
        <v>186</v>
      </c>
      <c r="G96" t="n">
        <v>165</v>
      </c>
      <c r="H96" t="n">
        <v>553</v>
      </c>
      <c r="I96" t="n">
        <v>5</v>
      </c>
      <c r="J96" t="n">
        <v>21</v>
      </c>
      <c r="K96" t="n">
        <v>0.97</v>
      </c>
      <c r="L96" t="n">
        <v>0.97</v>
      </c>
      <c r="M96" t="n">
        <v>0.89</v>
      </c>
      <c r="N96" t="n">
        <v>0.93</v>
      </c>
      <c r="O96" t="n">
        <v>0.99</v>
      </c>
      <c r="P96" s="2">
        <f>IFERROR((G96+H96)/(G96+H96+I96+J96),0)</f>
        <v/>
      </c>
      <c r="Q96" s="2">
        <f>IFERROR(G96/(G96+I96),0)</f>
        <v/>
      </c>
      <c r="R96" s="2">
        <f>IFERROR(G96/(G96+J96),0)</f>
        <v/>
      </c>
      <c r="S96" s="2">
        <f>IFERROR(2*Q96*R96/(Q96+R96),0)</f>
        <v/>
      </c>
      <c r="T96" s="2">
        <f>IFERROR(H96/(H96+I96),0)</f>
        <v/>
      </c>
      <c r="U96" s="2">
        <f>IFERROR((G96*H96-I96*J96)/SQRT((G96+I96)*(G96+J96)*(H96+I96)*(H96+J96)),0)</f>
        <v/>
      </c>
    </row>
    <row r="97">
      <c r="A97" t="n">
        <v>3</v>
      </c>
      <c r="B97" t="inlineStr">
        <is>
          <t>GradientBoosting</t>
        </is>
      </c>
      <c r="C97" t="inlineStr">
        <is>
          <t>test</t>
        </is>
      </c>
      <c r="D97" t="inlineStr">
        <is>
          <t>balanced</t>
        </is>
      </c>
      <c r="E97" t="n">
        <v>744</v>
      </c>
      <c r="F97" t="n">
        <v>186</v>
      </c>
      <c r="G97" t="n">
        <v>24</v>
      </c>
      <c r="H97" t="n">
        <v>2363</v>
      </c>
      <c r="I97" t="n">
        <v>254</v>
      </c>
      <c r="J97" t="n">
        <v>38</v>
      </c>
      <c r="K97" t="n">
        <v>0.89</v>
      </c>
      <c r="L97" t="n">
        <v>0.09</v>
      </c>
      <c r="M97" t="n">
        <v>0.39</v>
      </c>
      <c r="N97" t="n">
        <v>0.14</v>
      </c>
      <c r="O97" t="n">
        <v>0.78</v>
      </c>
      <c r="P97" s="2">
        <f>IFERROR((G97+H97)/(G97+H97+I97+J97),0)</f>
        <v/>
      </c>
      <c r="Q97" s="2">
        <f>IFERROR(G97/(G97+I97),0)</f>
        <v/>
      </c>
      <c r="R97" s="2">
        <f>IFERROR(G97/(G97+J97),0)</f>
        <v/>
      </c>
      <c r="S97" s="2">
        <f>IFERROR(2*Q97*R97/(Q97+R97),0)</f>
        <v/>
      </c>
      <c r="T97" s="2">
        <f>IFERROR(H97/(H97+I97),0)</f>
        <v/>
      </c>
      <c r="U97" s="2">
        <f>IFERROR((G97*H97-I97*J97)/SQRT((G97+I97)*(G97+J97)*(H97+I97)*(H97+J97)),0)</f>
        <v/>
      </c>
    </row>
    <row r="98">
      <c r="A98" t="n">
        <v>4</v>
      </c>
      <c r="B98" t="inlineStr">
        <is>
          <t>LDA</t>
        </is>
      </c>
      <c r="C98" t="inlineStr">
        <is>
          <t>train</t>
        </is>
      </c>
      <c r="D98" t="inlineStr">
        <is>
          <t>unbalanced</t>
        </is>
      </c>
      <c r="E98" t="n">
        <v>8037</v>
      </c>
      <c r="F98" t="n">
        <v>186</v>
      </c>
      <c r="G98" t="n">
        <v>8</v>
      </c>
      <c r="H98" t="n">
        <v>7773</v>
      </c>
      <c r="I98" t="n">
        <v>78</v>
      </c>
      <c r="J98" t="n">
        <v>178</v>
      </c>
      <c r="K98" t="n">
        <v>0.97</v>
      </c>
      <c r="L98" t="n">
        <v>0.09</v>
      </c>
      <c r="M98" t="n">
        <v>0.04</v>
      </c>
      <c r="N98" t="n">
        <v>0.06</v>
      </c>
      <c r="O98" t="n">
        <v>0.84</v>
      </c>
      <c r="P98" s="2">
        <f>IFERROR((G98+H98)/(G98+H98+I98+J98),0)</f>
        <v/>
      </c>
      <c r="Q98" s="2">
        <f>IFERROR(G98/(G98+I98),0)</f>
        <v/>
      </c>
      <c r="R98" s="2">
        <f>IFERROR(G98/(G98+J98),0)</f>
        <v/>
      </c>
      <c r="S98" s="2">
        <f>IFERROR(2*Q98*R98/(Q98+R98),0)</f>
        <v/>
      </c>
      <c r="T98" s="2">
        <f>IFERROR(H98/(H98+I98),0)</f>
        <v/>
      </c>
      <c r="U98" s="2">
        <f>IFERROR((G98*H98-I98*J98)/SQRT((G98+I98)*(G98+J98)*(H98+I98)*(H98+J98)),0)</f>
        <v/>
      </c>
    </row>
    <row r="99">
      <c r="A99" t="n">
        <v>4</v>
      </c>
      <c r="B99" t="inlineStr">
        <is>
          <t>LDA</t>
        </is>
      </c>
      <c r="C99" t="inlineStr">
        <is>
          <t>test</t>
        </is>
      </c>
      <c r="D99" t="inlineStr">
        <is>
          <t>unbalanced</t>
        </is>
      </c>
      <c r="E99" t="n">
        <v>8037</v>
      </c>
      <c r="F99" t="n">
        <v>186</v>
      </c>
      <c r="G99" t="n">
        <v>4</v>
      </c>
      <c r="H99" t="n">
        <v>2605</v>
      </c>
      <c r="I99" t="n">
        <v>12</v>
      </c>
      <c r="J99" t="n">
        <v>58</v>
      </c>
      <c r="K99" t="n">
        <v>0.97</v>
      </c>
      <c r="L99" t="n">
        <v>0.25</v>
      </c>
      <c r="M99" t="n">
        <v>0.06</v>
      </c>
      <c r="N99" t="n">
        <v>0.1</v>
      </c>
      <c r="O99" t="n">
        <v>0.85</v>
      </c>
      <c r="P99" s="2">
        <f>IFERROR((G99+H99)/(G99+H99+I99+J99),0)</f>
        <v/>
      </c>
      <c r="Q99" s="2">
        <f>IFERROR(G99/(G99+I99),0)</f>
        <v/>
      </c>
      <c r="R99" s="2">
        <f>IFERROR(G99/(G99+J99),0)</f>
        <v/>
      </c>
      <c r="S99" s="2">
        <f>IFERROR(2*Q99*R99/(Q99+R99),0)</f>
        <v/>
      </c>
      <c r="T99" s="2">
        <f>IFERROR(H99/(H99+I99),0)</f>
        <v/>
      </c>
      <c r="U99" s="2">
        <f>IFERROR((G99*H99-I99*J99)/SQRT((G99+I99)*(G99+J99)*(H99+I99)*(H99+J99)),0)</f>
        <v/>
      </c>
    </row>
    <row r="100">
      <c r="A100" t="n">
        <v>4</v>
      </c>
      <c r="B100" t="inlineStr">
        <is>
          <t>LogisticRegression</t>
        </is>
      </c>
      <c r="C100" t="inlineStr">
        <is>
          <t>train</t>
        </is>
      </c>
      <c r="D100" t="inlineStr">
        <is>
          <t>unbalanced</t>
        </is>
      </c>
      <c r="E100" t="n">
        <v>8037</v>
      </c>
      <c r="F100" t="n">
        <v>186</v>
      </c>
      <c r="G100" t="n">
        <v>1</v>
      </c>
      <c r="H100" t="n">
        <v>7851</v>
      </c>
      <c r="I100" t="n">
        <v>0</v>
      </c>
      <c r="J100" t="n">
        <v>185</v>
      </c>
      <c r="K100" t="n">
        <v>0.98</v>
      </c>
      <c r="L100" t="n">
        <v>1</v>
      </c>
      <c r="M100" t="n">
        <v>0.01</v>
      </c>
      <c r="N100" t="n">
        <v>0.01</v>
      </c>
      <c r="O100" t="n">
        <v>0.83</v>
      </c>
      <c r="P100" s="2">
        <f>IFERROR((G100+H100)/(G100+H100+I100+J100),0)</f>
        <v/>
      </c>
      <c r="Q100" s="2">
        <f>IFERROR(G100/(G100+I100),0)</f>
        <v/>
      </c>
      <c r="R100" s="2">
        <f>IFERROR(G100/(G100+J100),0)</f>
        <v/>
      </c>
      <c r="S100" s="2">
        <f>IFERROR(2*Q100*R100/(Q100+R100),0)</f>
        <v/>
      </c>
      <c r="T100" s="2">
        <f>IFERROR(H100/(H100+I100),0)</f>
        <v/>
      </c>
      <c r="U100" s="2">
        <f>IFERROR((G100*H100-I100*J100)/SQRT((G100+I100)*(G100+J100)*(H100+I100)*(H100+J100)),0)</f>
        <v/>
      </c>
    </row>
    <row r="101">
      <c r="A101" t="n">
        <v>4</v>
      </c>
      <c r="B101" t="inlineStr">
        <is>
          <t>LogisticRegression</t>
        </is>
      </c>
      <c r="C101" t="inlineStr">
        <is>
          <t>test</t>
        </is>
      </c>
      <c r="D101" t="inlineStr">
        <is>
          <t>unbalanced</t>
        </is>
      </c>
      <c r="E101" t="n">
        <v>8037</v>
      </c>
      <c r="F101" t="n">
        <v>186</v>
      </c>
      <c r="G101" t="n">
        <v>0</v>
      </c>
      <c r="H101" t="n">
        <v>2617</v>
      </c>
      <c r="I101" t="n">
        <v>0</v>
      </c>
      <c r="J101" t="n">
        <v>62</v>
      </c>
      <c r="K101" t="n">
        <v>0.98</v>
      </c>
      <c r="L101" t="n">
        <v>0</v>
      </c>
      <c r="M101" t="n">
        <v>0</v>
      </c>
      <c r="N101" t="n">
        <v>0</v>
      </c>
      <c r="O101" t="n">
        <v>0.84</v>
      </c>
      <c r="P101" s="2">
        <f>IFERROR((G101+H101)/(G101+H101+I101+J101),0)</f>
        <v/>
      </c>
      <c r="Q101" s="2">
        <f>IFERROR(G101/(G101+I101),0)</f>
        <v/>
      </c>
      <c r="R101" s="2">
        <f>IFERROR(G101/(G101+J101),0)</f>
        <v/>
      </c>
      <c r="S101" s="2">
        <f>IFERROR(2*Q101*R101/(Q101+R101),0)</f>
        <v/>
      </c>
      <c r="T101" s="2">
        <f>IFERROR(H101/(H101+I101),0)</f>
        <v/>
      </c>
      <c r="U101" s="2">
        <f>IFERROR((G101*H101-I101*J101)/SQRT((G101+I101)*(G101+J101)*(H101+I101)*(H101+J101)),0)</f>
        <v/>
      </c>
    </row>
    <row r="102">
      <c r="A102" t="n">
        <v>4</v>
      </c>
      <c r="B102" t="inlineStr">
        <is>
          <t>DecisionTree</t>
        </is>
      </c>
      <c r="C102" t="inlineStr">
        <is>
          <t>train</t>
        </is>
      </c>
      <c r="D102" t="inlineStr">
        <is>
          <t>unbalanced</t>
        </is>
      </c>
      <c r="E102" t="n">
        <v>8037</v>
      </c>
      <c r="F102" t="n">
        <v>186</v>
      </c>
      <c r="G102" t="n">
        <v>186</v>
      </c>
      <c r="H102" t="n">
        <v>7851</v>
      </c>
      <c r="I102" t="n">
        <v>0</v>
      </c>
      <c r="J102" t="n">
        <v>0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s="2">
        <f>IFERROR((G102+H102)/(G102+H102+I102+J102),0)</f>
        <v/>
      </c>
      <c r="Q102" s="2">
        <f>IFERROR(G102/(G102+I102),0)</f>
        <v/>
      </c>
      <c r="R102" s="2">
        <f>IFERROR(G102/(G102+J102),0)</f>
        <v/>
      </c>
      <c r="S102" s="2">
        <f>IFERROR(2*Q102*R102/(Q102+R102),0)</f>
        <v/>
      </c>
      <c r="T102" s="2">
        <f>IFERROR(H102/(H102+I102),0)</f>
        <v/>
      </c>
      <c r="U102" s="2">
        <f>IFERROR((G102*H102-I102*J102)/SQRT((G102+I102)*(G102+J102)*(H102+I102)*(H102+J102)),0)</f>
        <v/>
      </c>
    </row>
    <row r="103">
      <c r="A103" t="n">
        <v>4</v>
      </c>
      <c r="B103" t="inlineStr">
        <is>
          <t>DecisionTree</t>
        </is>
      </c>
      <c r="C103" t="inlineStr">
        <is>
          <t>test</t>
        </is>
      </c>
      <c r="D103" t="inlineStr">
        <is>
          <t>unbalanced</t>
        </is>
      </c>
      <c r="E103" t="n">
        <v>8037</v>
      </c>
      <c r="F103" t="n">
        <v>186</v>
      </c>
      <c r="G103" t="n">
        <v>5</v>
      </c>
      <c r="H103" t="n">
        <v>2560</v>
      </c>
      <c r="I103" t="n">
        <v>57</v>
      </c>
      <c r="J103" t="n">
        <v>57</v>
      </c>
      <c r="K103" t="n">
        <v>0.96</v>
      </c>
      <c r="L103" t="n">
        <v>0.08</v>
      </c>
      <c r="M103" t="n">
        <v>0.08</v>
      </c>
      <c r="N103" t="n">
        <v>0.08</v>
      </c>
      <c r="O103" t="n">
        <v>0.53</v>
      </c>
      <c r="P103" s="2">
        <f>IFERROR((G103+H103)/(G103+H103+I103+J103),0)</f>
        <v/>
      </c>
      <c r="Q103" s="2">
        <f>IFERROR(G103/(G103+I103),0)</f>
        <v/>
      </c>
      <c r="R103" s="2">
        <f>IFERROR(G103/(G103+J103),0)</f>
        <v/>
      </c>
      <c r="S103" s="2">
        <f>IFERROR(2*Q103*R103/(Q103+R103),0)</f>
        <v/>
      </c>
      <c r="T103" s="2">
        <f>IFERROR(H103/(H103+I103),0)</f>
        <v/>
      </c>
      <c r="U103" s="2">
        <f>IFERROR((G103*H103-I103*J103)/SQRT((G103+I103)*(G103+J103)*(H103+I103)*(H103+J103)),0)</f>
        <v/>
      </c>
    </row>
    <row r="104">
      <c r="A104" t="n">
        <v>4</v>
      </c>
      <c r="B104" t="inlineStr">
        <is>
          <t>RandomForest</t>
        </is>
      </c>
      <c r="C104" t="inlineStr">
        <is>
          <t>train</t>
        </is>
      </c>
      <c r="D104" t="inlineStr">
        <is>
          <t>unbalanced</t>
        </is>
      </c>
      <c r="E104" t="n">
        <v>8037</v>
      </c>
      <c r="F104" t="n">
        <v>186</v>
      </c>
      <c r="G104" t="n">
        <v>186</v>
      </c>
      <c r="H104" t="n">
        <v>7851</v>
      </c>
      <c r="I104" t="n">
        <v>0</v>
      </c>
      <c r="J104" t="n">
        <v>0</v>
      </c>
      <c r="K104" t="n">
        <v>1</v>
      </c>
      <c r="L104" t="n">
        <v>1</v>
      </c>
      <c r="M104" t="n">
        <v>1</v>
      </c>
      <c r="N104" t="n">
        <v>1</v>
      </c>
      <c r="O104" t="n">
        <v>1</v>
      </c>
      <c r="P104" s="2">
        <f>IFERROR((G104+H104)/(G104+H104+I104+J104),0)</f>
        <v/>
      </c>
      <c r="Q104" s="2">
        <f>IFERROR(G104/(G104+I104),0)</f>
        <v/>
      </c>
      <c r="R104" s="2">
        <f>IFERROR(G104/(G104+J104),0)</f>
        <v/>
      </c>
      <c r="S104" s="2">
        <f>IFERROR(2*Q104*R104/(Q104+R104),0)</f>
        <v/>
      </c>
      <c r="T104" s="2">
        <f>IFERROR(H104/(H104+I104),0)</f>
        <v/>
      </c>
      <c r="U104" s="2">
        <f>IFERROR((G104*H104-I104*J104)/SQRT((G104+I104)*(G104+J104)*(H104+I104)*(H104+J104)),0)</f>
        <v/>
      </c>
    </row>
    <row r="105">
      <c r="A105" t="n">
        <v>4</v>
      </c>
      <c r="B105" t="inlineStr">
        <is>
          <t>RandomForest</t>
        </is>
      </c>
      <c r="C105" t="inlineStr">
        <is>
          <t>test</t>
        </is>
      </c>
      <c r="D105" t="inlineStr">
        <is>
          <t>unbalanced</t>
        </is>
      </c>
      <c r="E105" t="n">
        <v>8037</v>
      </c>
      <c r="F105" t="n">
        <v>186</v>
      </c>
      <c r="G105" t="n">
        <v>1</v>
      </c>
      <c r="H105" t="n">
        <v>2617</v>
      </c>
      <c r="I105" t="n">
        <v>0</v>
      </c>
      <c r="J105" t="n">
        <v>61</v>
      </c>
      <c r="K105" t="n">
        <v>0.98</v>
      </c>
      <c r="L105" t="n">
        <v>1</v>
      </c>
      <c r="M105" t="n">
        <v>0.02</v>
      </c>
      <c r="N105" t="n">
        <v>0.03</v>
      </c>
      <c r="O105" t="n">
        <v>0.84</v>
      </c>
      <c r="P105" s="2">
        <f>IFERROR((G105+H105)/(G105+H105+I105+J105),0)</f>
        <v/>
      </c>
      <c r="Q105" s="2">
        <f>IFERROR(G105/(G105+I105),0)</f>
        <v/>
      </c>
      <c r="R105" s="2">
        <f>IFERROR(G105/(G105+J105),0)</f>
        <v/>
      </c>
      <c r="S105" s="2">
        <f>IFERROR(2*Q105*R105/(Q105+R105),0)</f>
        <v/>
      </c>
      <c r="T105" s="2">
        <f>IFERROR(H105/(H105+I105),0)</f>
        <v/>
      </c>
      <c r="U105" s="2">
        <f>IFERROR((G105*H105-I105*J105)/SQRT((G105+I105)*(G105+J105)*(H105+I105)*(H105+J105)),0)</f>
        <v/>
      </c>
    </row>
    <row r="106">
      <c r="A106" t="n">
        <v>4</v>
      </c>
      <c r="B106" t="inlineStr">
        <is>
          <t>kNN</t>
        </is>
      </c>
      <c r="C106" t="inlineStr">
        <is>
          <t>train</t>
        </is>
      </c>
      <c r="D106" t="inlineStr">
        <is>
          <t>unbalanced</t>
        </is>
      </c>
      <c r="E106" t="n">
        <v>8037</v>
      </c>
      <c r="F106" t="n">
        <v>186</v>
      </c>
      <c r="G106" t="n">
        <v>19</v>
      </c>
      <c r="H106" t="n">
        <v>7842</v>
      </c>
      <c r="I106" t="n">
        <v>9</v>
      </c>
      <c r="J106" t="n">
        <v>167</v>
      </c>
      <c r="K106" t="n">
        <v>0.98</v>
      </c>
      <c r="L106" t="n">
        <v>0.68</v>
      </c>
      <c r="M106" t="n">
        <v>0.1</v>
      </c>
      <c r="N106" t="n">
        <v>0.18</v>
      </c>
      <c r="O106" t="n">
        <v>0.97</v>
      </c>
      <c r="P106" s="2">
        <f>IFERROR((G106+H106)/(G106+H106+I106+J106),0)</f>
        <v/>
      </c>
      <c r="Q106" s="2">
        <f>IFERROR(G106/(G106+I106),0)</f>
        <v/>
      </c>
      <c r="R106" s="2">
        <f>IFERROR(G106/(G106+J106),0)</f>
        <v/>
      </c>
      <c r="S106" s="2">
        <f>IFERROR(2*Q106*R106/(Q106+R106),0)</f>
        <v/>
      </c>
      <c r="T106" s="2">
        <f>IFERROR(H106/(H106+I106),0)</f>
        <v/>
      </c>
      <c r="U106" s="2">
        <f>IFERROR((G106*H106-I106*J106)/SQRT((G106+I106)*(G106+J106)*(H106+I106)*(H106+J106)),0)</f>
        <v/>
      </c>
    </row>
    <row r="107">
      <c r="A107" t="n">
        <v>4</v>
      </c>
      <c r="B107" t="inlineStr">
        <is>
          <t>kNN</t>
        </is>
      </c>
      <c r="C107" t="inlineStr">
        <is>
          <t>test</t>
        </is>
      </c>
      <c r="D107" t="inlineStr">
        <is>
          <t>unbalanced</t>
        </is>
      </c>
      <c r="E107" t="n">
        <v>8037</v>
      </c>
      <c r="F107" t="n">
        <v>186</v>
      </c>
      <c r="G107" t="n">
        <v>5</v>
      </c>
      <c r="H107" t="n">
        <v>2615</v>
      </c>
      <c r="I107" t="n">
        <v>2</v>
      </c>
      <c r="J107" t="n">
        <v>57</v>
      </c>
      <c r="K107" t="n">
        <v>0.98</v>
      </c>
      <c r="L107" t="n">
        <v>0.71</v>
      </c>
      <c r="M107" t="n">
        <v>0.08</v>
      </c>
      <c r="N107" t="n">
        <v>0.14</v>
      </c>
      <c r="O107" t="n">
        <v>0.68</v>
      </c>
      <c r="P107" s="2">
        <f>IFERROR((G107+H107)/(G107+H107+I107+J107),0)</f>
        <v/>
      </c>
      <c r="Q107" s="2">
        <f>IFERROR(G107/(G107+I107),0)</f>
        <v/>
      </c>
      <c r="R107" s="2">
        <f>IFERROR(G107/(G107+J107),0)</f>
        <v/>
      </c>
      <c r="S107" s="2">
        <f>IFERROR(2*Q107*R107/(Q107+R107),0)</f>
        <v/>
      </c>
      <c r="T107" s="2">
        <f>IFERROR(H107/(H107+I107),0)</f>
        <v/>
      </c>
      <c r="U107" s="2">
        <f>IFERROR((G107*H107-I107*J107)/SQRT((G107+I107)*(G107+J107)*(H107+I107)*(H107+J107)),0)</f>
        <v/>
      </c>
    </row>
    <row r="108">
      <c r="A108" t="n">
        <v>4</v>
      </c>
      <c r="B108" t="inlineStr">
        <is>
          <t>NaiveBayes</t>
        </is>
      </c>
      <c r="C108" t="inlineStr">
        <is>
          <t>train</t>
        </is>
      </c>
      <c r="D108" t="inlineStr">
        <is>
          <t>unbalanced</t>
        </is>
      </c>
      <c r="E108" t="n">
        <v>8037</v>
      </c>
      <c r="F108" t="n">
        <v>186</v>
      </c>
      <c r="G108" t="n">
        <v>46</v>
      </c>
      <c r="H108" t="n">
        <v>7406</v>
      </c>
      <c r="I108" t="n">
        <v>445</v>
      </c>
      <c r="J108" t="n">
        <v>140</v>
      </c>
      <c r="K108" t="n">
        <v>0.93</v>
      </c>
      <c r="L108" t="n">
        <v>0.09</v>
      </c>
      <c r="M108" t="n">
        <v>0.25</v>
      </c>
      <c r="N108" t="n">
        <v>0.14</v>
      </c>
      <c r="O108" t="n">
        <v>0.82</v>
      </c>
      <c r="P108" s="2">
        <f>IFERROR((G108+H108)/(G108+H108+I108+J108),0)</f>
        <v/>
      </c>
      <c r="Q108" s="2">
        <f>IFERROR(G108/(G108+I108),0)</f>
        <v/>
      </c>
      <c r="R108" s="2">
        <f>IFERROR(G108/(G108+J108),0)</f>
        <v/>
      </c>
      <c r="S108" s="2">
        <f>IFERROR(2*Q108*R108/(Q108+R108),0)</f>
        <v/>
      </c>
      <c r="T108" s="2">
        <f>IFERROR(H108/(H108+I108),0)</f>
        <v/>
      </c>
      <c r="U108" s="2">
        <f>IFERROR((G108*H108-I108*J108)/SQRT((G108+I108)*(G108+J108)*(H108+I108)*(H108+J108)),0)</f>
        <v/>
      </c>
    </row>
    <row r="109">
      <c r="A109" t="n">
        <v>4</v>
      </c>
      <c r="B109" t="inlineStr">
        <is>
          <t>NaiveBayes</t>
        </is>
      </c>
      <c r="C109" t="inlineStr">
        <is>
          <t>test</t>
        </is>
      </c>
      <c r="D109" t="inlineStr">
        <is>
          <t>unbalanced</t>
        </is>
      </c>
      <c r="E109" t="n">
        <v>8037</v>
      </c>
      <c r="F109" t="n">
        <v>186</v>
      </c>
      <c r="G109" t="n">
        <v>14</v>
      </c>
      <c r="H109" t="n">
        <v>2469</v>
      </c>
      <c r="I109" t="n">
        <v>148</v>
      </c>
      <c r="J109" t="n">
        <v>48</v>
      </c>
      <c r="K109" t="n">
        <v>0.93</v>
      </c>
      <c r="L109" t="n">
        <v>0.09</v>
      </c>
      <c r="M109" t="n">
        <v>0.23</v>
      </c>
      <c r="N109" t="n">
        <v>0.12</v>
      </c>
      <c r="O109" t="n">
        <v>0.84</v>
      </c>
      <c r="P109" s="2">
        <f>IFERROR((G109+H109)/(G109+H109+I109+J109),0)</f>
        <v/>
      </c>
      <c r="Q109" s="2">
        <f>IFERROR(G109/(G109+I109),0)</f>
        <v/>
      </c>
      <c r="R109" s="2">
        <f>IFERROR(G109/(G109+J109),0)</f>
        <v/>
      </c>
      <c r="S109" s="2">
        <f>IFERROR(2*Q109*R109/(Q109+R109),0)</f>
        <v/>
      </c>
      <c r="T109" s="2">
        <f>IFERROR(H109/(H109+I109),0)</f>
        <v/>
      </c>
      <c r="U109" s="2">
        <f>IFERROR((G109*H109-I109*J109)/SQRT((G109+I109)*(G109+J109)*(H109+I109)*(H109+J109)),0)</f>
        <v/>
      </c>
    </row>
    <row r="110">
      <c r="A110" t="n">
        <v>4</v>
      </c>
      <c r="B110" t="inlineStr">
        <is>
          <t>SVM</t>
        </is>
      </c>
      <c r="C110" t="inlineStr">
        <is>
          <t>train</t>
        </is>
      </c>
      <c r="D110" t="inlineStr">
        <is>
          <t>unbalanced</t>
        </is>
      </c>
      <c r="E110" t="n">
        <v>8037</v>
      </c>
      <c r="F110" t="n">
        <v>186</v>
      </c>
      <c r="G110" t="n">
        <v>0</v>
      </c>
      <c r="H110" t="n">
        <v>7851</v>
      </c>
      <c r="I110" t="n">
        <v>0</v>
      </c>
      <c r="J110" t="n">
        <v>186</v>
      </c>
      <c r="K110" t="n">
        <v>0.98</v>
      </c>
      <c r="L110" t="n">
        <v>0</v>
      </c>
      <c r="M110" t="n">
        <v>0</v>
      </c>
      <c r="N110" t="n">
        <v>0</v>
      </c>
      <c r="O110" t="n">
        <v>0.9</v>
      </c>
      <c r="P110" s="2">
        <f>IFERROR((G110+H110)/(G110+H110+I110+J110),0)</f>
        <v/>
      </c>
      <c r="Q110" s="2">
        <f>IFERROR(G110/(G110+I110),0)</f>
        <v/>
      </c>
      <c r="R110" s="2">
        <f>IFERROR(G110/(G110+J110),0)</f>
        <v/>
      </c>
      <c r="S110" s="2">
        <f>IFERROR(2*Q110*R110/(Q110+R110),0)</f>
        <v/>
      </c>
      <c r="T110" s="2">
        <f>IFERROR(H110/(H110+I110),0)</f>
        <v/>
      </c>
      <c r="U110" s="2">
        <f>IFERROR((G110*H110-I110*J110)/SQRT((G110+I110)*(G110+J110)*(H110+I110)*(H110+J110)),0)</f>
        <v/>
      </c>
    </row>
    <row r="111">
      <c r="A111" t="n">
        <v>4</v>
      </c>
      <c r="B111" t="inlineStr">
        <is>
          <t>SVM</t>
        </is>
      </c>
      <c r="C111" t="inlineStr">
        <is>
          <t>test</t>
        </is>
      </c>
      <c r="D111" t="inlineStr">
        <is>
          <t>unbalanced</t>
        </is>
      </c>
      <c r="E111" t="n">
        <v>8037</v>
      </c>
      <c r="F111" t="n">
        <v>186</v>
      </c>
      <c r="G111" t="n">
        <v>0</v>
      </c>
      <c r="H111" t="n">
        <v>2617</v>
      </c>
      <c r="I111" t="n">
        <v>0</v>
      </c>
      <c r="J111" t="n">
        <v>62</v>
      </c>
      <c r="K111" t="n">
        <v>0.98</v>
      </c>
      <c r="L111" t="n">
        <v>0</v>
      </c>
      <c r="M111" t="n">
        <v>0</v>
      </c>
      <c r="N111" t="n">
        <v>0</v>
      </c>
      <c r="O111" t="n">
        <v>0.73</v>
      </c>
      <c r="P111" s="2">
        <f>IFERROR((G111+H111)/(G111+H111+I111+J111),0)</f>
        <v/>
      </c>
      <c r="Q111" s="2">
        <f>IFERROR(G111/(G111+I111),0)</f>
        <v/>
      </c>
      <c r="R111" s="2">
        <f>IFERROR(G111/(G111+J111),0)</f>
        <v/>
      </c>
      <c r="S111" s="2">
        <f>IFERROR(2*Q111*R111/(Q111+R111),0)</f>
        <v/>
      </c>
      <c r="T111" s="2">
        <f>IFERROR(H111/(H111+I111),0)</f>
        <v/>
      </c>
      <c r="U111" s="2">
        <f>IFERROR((G111*H111-I111*J111)/SQRT((G111+I111)*(G111+J111)*(H111+I111)*(H111+J111)),0)</f>
        <v/>
      </c>
    </row>
    <row r="112">
      <c r="A112" t="n">
        <v>4</v>
      </c>
      <c r="B112" t="inlineStr">
        <is>
          <t>GradientBoosting</t>
        </is>
      </c>
      <c r="C112" t="inlineStr">
        <is>
          <t>train</t>
        </is>
      </c>
      <c r="D112" t="inlineStr">
        <is>
          <t>unbalanced</t>
        </is>
      </c>
      <c r="E112" t="n">
        <v>8037</v>
      </c>
      <c r="F112" t="n">
        <v>186</v>
      </c>
      <c r="G112" t="n">
        <v>50</v>
      </c>
      <c r="H112" t="n">
        <v>7851</v>
      </c>
      <c r="I112" t="n">
        <v>0</v>
      </c>
      <c r="J112" t="n">
        <v>136</v>
      </c>
      <c r="K112" t="n">
        <v>0.98</v>
      </c>
      <c r="L112" t="n">
        <v>1</v>
      </c>
      <c r="M112" t="n">
        <v>0.27</v>
      </c>
      <c r="N112" t="n">
        <v>0.42</v>
      </c>
      <c r="O112" t="n">
        <v>0.96</v>
      </c>
      <c r="P112" s="2">
        <f>IFERROR((G112+H112)/(G112+H112+I112+J112),0)</f>
        <v/>
      </c>
      <c r="Q112" s="2">
        <f>IFERROR(G112/(G112+I112),0)</f>
        <v/>
      </c>
      <c r="R112" s="2">
        <f>IFERROR(G112/(G112+J112),0)</f>
        <v/>
      </c>
      <c r="S112" s="2">
        <f>IFERROR(2*Q112*R112/(Q112+R112),0)</f>
        <v/>
      </c>
      <c r="T112" s="2">
        <f>IFERROR(H112/(H112+I112),0)</f>
        <v/>
      </c>
      <c r="U112" s="2">
        <f>IFERROR((G112*H112-I112*J112)/SQRT((G112+I112)*(G112+J112)*(H112+I112)*(H112+J112)),0)</f>
        <v/>
      </c>
    </row>
    <row r="113">
      <c r="A113" t="n">
        <v>4</v>
      </c>
      <c r="B113" t="inlineStr">
        <is>
          <t>GradientBoosting</t>
        </is>
      </c>
      <c r="C113" t="inlineStr">
        <is>
          <t>test</t>
        </is>
      </c>
      <c r="D113" t="inlineStr">
        <is>
          <t>unbalanced</t>
        </is>
      </c>
      <c r="E113" t="n">
        <v>8037</v>
      </c>
      <c r="F113" t="n">
        <v>186</v>
      </c>
      <c r="G113" t="n">
        <v>2</v>
      </c>
      <c r="H113" t="n">
        <v>2614</v>
      </c>
      <c r="I113" t="n">
        <v>3</v>
      </c>
      <c r="J113" t="n">
        <v>60</v>
      </c>
      <c r="K113" t="n">
        <v>0.98</v>
      </c>
      <c r="L113" t="n">
        <v>0.4</v>
      </c>
      <c r="M113" t="n">
        <v>0.03</v>
      </c>
      <c r="N113" t="n">
        <v>0.06</v>
      </c>
      <c r="O113" t="n">
        <v>0.88</v>
      </c>
      <c r="P113" s="2">
        <f>IFERROR((G113+H113)/(G113+H113+I113+J113),0)</f>
        <v/>
      </c>
      <c r="Q113" s="2">
        <f>IFERROR(G113/(G113+I113),0)</f>
        <v/>
      </c>
      <c r="R113" s="2">
        <f>IFERROR(G113/(G113+J113),0)</f>
        <v/>
      </c>
      <c r="S113" s="2">
        <f>IFERROR(2*Q113*R113/(Q113+R113),0)</f>
        <v/>
      </c>
      <c r="T113" s="2">
        <f>IFERROR(H113/(H113+I113),0)</f>
        <v/>
      </c>
      <c r="U113" s="2">
        <f>IFERROR((G113*H113-I113*J113)/SQRT((G113+I113)*(G113+J113)*(H113+I113)*(H113+J113)),0)</f>
        <v/>
      </c>
    </row>
    <row r="114">
      <c r="A114" t="n">
        <v>4</v>
      </c>
      <c r="B114" t="inlineStr">
        <is>
          <t>LDA</t>
        </is>
      </c>
      <c r="C114" t="inlineStr">
        <is>
          <t>train</t>
        </is>
      </c>
      <c r="D114" t="inlineStr">
        <is>
          <t>balanced</t>
        </is>
      </c>
      <c r="E114" t="n">
        <v>744</v>
      </c>
      <c r="F114" t="n">
        <v>186</v>
      </c>
      <c r="G114" t="n">
        <v>70</v>
      </c>
      <c r="H114" t="n">
        <v>526</v>
      </c>
      <c r="I114" t="n">
        <v>32</v>
      </c>
      <c r="J114" t="n">
        <v>116</v>
      </c>
      <c r="K114" t="n">
        <v>0.8</v>
      </c>
      <c r="L114" t="n">
        <v>0.6899999999999999</v>
      </c>
      <c r="M114" t="n">
        <v>0.38</v>
      </c>
      <c r="N114" t="n">
        <v>0.49</v>
      </c>
      <c r="O114" t="n">
        <v>0.83</v>
      </c>
      <c r="P114" s="2">
        <f>IFERROR((G114+H114)/(G114+H114+I114+J114),0)</f>
        <v/>
      </c>
      <c r="Q114" s="2">
        <f>IFERROR(G114/(G114+I114),0)</f>
        <v/>
      </c>
      <c r="R114" s="2">
        <f>IFERROR(G114/(G114+J114),0)</f>
        <v/>
      </c>
      <c r="S114" s="2">
        <f>IFERROR(2*Q114*R114/(Q114+R114),0)</f>
        <v/>
      </c>
      <c r="T114" s="2">
        <f>IFERROR(H114/(H114+I114),0)</f>
        <v/>
      </c>
      <c r="U114" s="2">
        <f>IFERROR((G114*H114-I114*J114)/SQRT((G114+I114)*(G114+J114)*(H114+I114)*(H114+J114)),0)</f>
        <v/>
      </c>
    </row>
    <row r="115">
      <c r="A115" t="n">
        <v>4</v>
      </c>
      <c r="B115" t="inlineStr">
        <is>
          <t>LDA</t>
        </is>
      </c>
      <c r="C115" t="inlineStr">
        <is>
          <t>test</t>
        </is>
      </c>
      <c r="D115" t="inlineStr">
        <is>
          <t>balanced</t>
        </is>
      </c>
      <c r="E115" t="n">
        <v>744</v>
      </c>
      <c r="F115" t="n">
        <v>186</v>
      </c>
      <c r="G115" t="n">
        <v>23</v>
      </c>
      <c r="H115" t="n">
        <v>2459</v>
      </c>
      <c r="I115" t="n">
        <v>158</v>
      </c>
      <c r="J115" t="n">
        <v>39</v>
      </c>
      <c r="K115" t="n">
        <v>0.93</v>
      </c>
      <c r="L115" t="n">
        <v>0.13</v>
      </c>
      <c r="M115" t="n">
        <v>0.37</v>
      </c>
      <c r="N115" t="n">
        <v>0.19</v>
      </c>
      <c r="O115" t="n">
        <v>0.85</v>
      </c>
      <c r="P115" s="2">
        <f>IFERROR((G115+H115)/(G115+H115+I115+J115),0)</f>
        <v/>
      </c>
      <c r="Q115" s="2">
        <f>IFERROR(G115/(G115+I115),0)</f>
        <v/>
      </c>
      <c r="R115" s="2">
        <f>IFERROR(G115/(G115+J115),0)</f>
        <v/>
      </c>
      <c r="S115" s="2">
        <f>IFERROR(2*Q115*R115/(Q115+R115),0)</f>
        <v/>
      </c>
      <c r="T115" s="2">
        <f>IFERROR(H115/(H115+I115),0)</f>
        <v/>
      </c>
      <c r="U115" s="2">
        <f>IFERROR((G115*H115-I115*J115)/SQRT((G115+I115)*(G115+J115)*(H115+I115)*(H115+J115)),0)</f>
        <v/>
      </c>
    </row>
    <row r="116">
      <c r="A116" t="n">
        <v>4</v>
      </c>
      <c r="B116" t="inlineStr">
        <is>
          <t>LogisticRegression</t>
        </is>
      </c>
      <c r="C116" t="inlineStr">
        <is>
          <t>train</t>
        </is>
      </c>
      <c r="D116" t="inlineStr">
        <is>
          <t>balanced</t>
        </is>
      </c>
      <c r="E116" t="n">
        <v>744</v>
      </c>
      <c r="F116" t="n">
        <v>186</v>
      </c>
      <c r="G116" t="n">
        <v>64</v>
      </c>
      <c r="H116" t="n">
        <v>534</v>
      </c>
      <c r="I116" t="n">
        <v>24</v>
      </c>
      <c r="J116" t="n">
        <v>122</v>
      </c>
      <c r="K116" t="n">
        <v>0.8</v>
      </c>
      <c r="L116" t="n">
        <v>0.73</v>
      </c>
      <c r="M116" t="n">
        <v>0.34</v>
      </c>
      <c r="N116" t="n">
        <v>0.47</v>
      </c>
      <c r="O116" t="n">
        <v>0.83</v>
      </c>
      <c r="P116" s="2">
        <f>IFERROR((G116+H116)/(G116+H116+I116+J116),0)</f>
        <v/>
      </c>
      <c r="Q116" s="2">
        <f>IFERROR(G116/(G116+I116),0)</f>
        <v/>
      </c>
      <c r="R116" s="2">
        <f>IFERROR(G116/(G116+J116),0)</f>
        <v/>
      </c>
      <c r="S116" s="2">
        <f>IFERROR(2*Q116*R116/(Q116+R116),0)</f>
        <v/>
      </c>
      <c r="T116" s="2">
        <f>IFERROR(H116/(H116+I116),0)</f>
        <v/>
      </c>
      <c r="U116" s="2">
        <f>IFERROR((G116*H116-I116*J116)/SQRT((G116+I116)*(G116+J116)*(H116+I116)*(H116+J116)),0)</f>
        <v/>
      </c>
    </row>
    <row r="117">
      <c r="A117" t="n">
        <v>4</v>
      </c>
      <c r="B117" t="inlineStr">
        <is>
          <t>LogisticRegression</t>
        </is>
      </c>
      <c r="C117" t="inlineStr">
        <is>
          <t>test</t>
        </is>
      </c>
      <c r="D117" t="inlineStr">
        <is>
          <t>balanced</t>
        </is>
      </c>
      <c r="E117" t="n">
        <v>744</v>
      </c>
      <c r="F117" t="n">
        <v>186</v>
      </c>
      <c r="G117" t="n">
        <v>18</v>
      </c>
      <c r="H117" t="n">
        <v>2481</v>
      </c>
      <c r="I117" t="n">
        <v>136</v>
      </c>
      <c r="J117" t="n">
        <v>44</v>
      </c>
      <c r="K117" t="n">
        <v>0.93</v>
      </c>
      <c r="L117" t="n">
        <v>0.12</v>
      </c>
      <c r="M117" t="n">
        <v>0.29</v>
      </c>
      <c r="N117" t="n">
        <v>0.17</v>
      </c>
      <c r="O117" t="n">
        <v>0.85</v>
      </c>
      <c r="P117" s="2">
        <f>IFERROR((G117+H117)/(G117+H117+I117+J117),0)</f>
        <v/>
      </c>
      <c r="Q117" s="2">
        <f>IFERROR(G117/(G117+I117),0)</f>
        <v/>
      </c>
      <c r="R117" s="2">
        <f>IFERROR(G117/(G117+J117),0)</f>
        <v/>
      </c>
      <c r="S117" s="2">
        <f>IFERROR(2*Q117*R117/(Q117+R117),0)</f>
        <v/>
      </c>
      <c r="T117" s="2">
        <f>IFERROR(H117/(H117+I117),0)</f>
        <v/>
      </c>
      <c r="U117" s="2">
        <f>IFERROR((G117*H117-I117*J117)/SQRT((G117+I117)*(G117+J117)*(H117+I117)*(H117+J117)),0)</f>
        <v/>
      </c>
    </row>
    <row r="118">
      <c r="A118" t="n">
        <v>4</v>
      </c>
      <c r="B118" t="inlineStr">
        <is>
          <t>DecisionTree</t>
        </is>
      </c>
      <c r="C118" t="inlineStr">
        <is>
          <t>train</t>
        </is>
      </c>
      <c r="D118" t="inlineStr">
        <is>
          <t>balanced</t>
        </is>
      </c>
      <c r="E118" t="n">
        <v>744</v>
      </c>
      <c r="F118" t="n">
        <v>186</v>
      </c>
      <c r="G118" t="n">
        <v>186</v>
      </c>
      <c r="H118" t="n">
        <v>558</v>
      </c>
      <c r="I118" t="n">
        <v>0</v>
      </c>
      <c r="J118" t="n">
        <v>0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s="2">
        <f>IFERROR((G118+H118)/(G118+H118+I118+J118),0)</f>
        <v/>
      </c>
      <c r="Q118" s="2">
        <f>IFERROR(G118/(G118+I118),0)</f>
        <v/>
      </c>
      <c r="R118" s="2">
        <f>IFERROR(G118/(G118+J118),0)</f>
        <v/>
      </c>
      <c r="S118" s="2">
        <f>IFERROR(2*Q118*R118/(Q118+R118),0)</f>
        <v/>
      </c>
      <c r="T118" s="2">
        <f>IFERROR(H118/(H118+I118),0)</f>
        <v/>
      </c>
      <c r="U118" s="2">
        <f>IFERROR((G118*H118-I118*J118)/SQRT((G118+I118)*(G118+J118)*(H118+I118)*(H118+J118)),0)</f>
        <v/>
      </c>
    </row>
    <row r="119">
      <c r="A119" t="n">
        <v>4</v>
      </c>
      <c r="B119" t="inlineStr">
        <is>
          <t>DecisionTree</t>
        </is>
      </c>
      <c r="C119" t="inlineStr">
        <is>
          <t>test</t>
        </is>
      </c>
      <c r="D119" t="inlineStr">
        <is>
          <t>balanced</t>
        </is>
      </c>
      <c r="E119" t="n">
        <v>744</v>
      </c>
      <c r="F119" t="n">
        <v>186</v>
      </c>
      <c r="G119" t="n">
        <v>29</v>
      </c>
      <c r="H119" t="n">
        <v>2208</v>
      </c>
      <c r="I119" t="n">
        <v>409</v>
      </c>
      <c r="J119" t="n">
        <v>33</v>
      </c>
      <c r="K119" t="n">
        <v>0.84</v>
      </c>
      <c r="L119" t="n">
        <v>0.07000000000000001</v>
      </c>
      <c r="M119" t="n">
        <v>0.47</v>
      </c>
      <c r="N119" t="n">
        <v>0.12</v>
      </c>
      <c r="O119" t="n">
        <v>0.66</v>
      </c>
      <c r="P119" s="2">
        <f>IFERROR((G119+H119)/(G119+H119+I119+J119),0)</f>
        <v/>
      </c>
      <c r="Q119" s="2">
        <f>IFERROR(G119/(G119+I119),0)</f>
        <v/>
      </c>
      <c r="R119" s="2">
        <f>IFERROR(G119/(G119+J119),0)</f>
        <v/>
      </c>
      <c r="S119" s="2">
        <f>IFERROR(2*Q119*R119/(Q119+R119),0)</f>
        <v/>
      </c>
      <c r="T119" s="2">
        <f>IFERROR(H119/(H119+I119),0)</f>
        <v/>
      </c>
      <c r="U119" s="2">
        <f>IFERROR((G119*H119-I119*J119)/SQRT((G119+I119)*(G119+J119)*(H119+I119)*(H119+J119)),0)</f>
        <v/>
      </c>
    </row>
    <row r="120">
      <c r="A120" t="n">
        <v>4</v>
      </c>
      <c r="B120" t="inlineStr">
        <is>
          <t>RandomForest</t>
        </is>
      </c>
      <c r="C120" t="inlineStr">
        <is>
          <t>train</t>
        </is>
      </c>
      <c r="D120" t="inlineStr">
        <is>
          <t>balanced</t>
        </is>
      </c>
      <c r="E120" t="n">
        <v>744</v>
      </c>
      <c r="F120" t="n">
        <v>186</v>
      </c>
      <c r="G120" t="n">
        <v>186</v>
      </c>
      <c r="H120" t="n">
        <v>558</v>
      </c>
      <c r="I120" t="n">
        <v>0</v>
      </c>
      <c r="J120" t="n">
        <v>0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s="2">
        <f>IFERROR((G120+H120)/(G120+H120+I120+J120),0)</f>
        <v/>
      </c>
      <c r="Q120" s="2">
        <f>IFERROR(G120/(G120+I120),0)</f>
        <v/>
      </c>
      <c r="R120" s="2">
        <f>IFERROR(G120/(G120+J120),0)</f>
        <v/>
      </c>
      <c r="S120" s="2">
        <f>IFERROR(2*Q120*R120/(Q120+R120),0)</f>
        <v/>
      </c>
      <c r="T120" s="2">
        <f>IFERROR(H120/(H120+I120),0)</f>
        <v/>
      </c>
      <c r="U120" s="2">
        <f>IFERROR((G120*H120-I120*J120)/SQRT((G120+I120)*(G120+J120)*(H120+I120)*(H120+J120)),0)</f>
        <v/>
      </c>
    </row>
    <row r="121">
      <c r="A121" t="n">
        <v>4</v>
      </c>
      <c r="B121" t="inlineStr">
        <is>
          <t>RandomForest</t>
        </is>
      </c>
      <c r="C121" t="inlineStr">
        <is>
          <t>test</t>
        </is>
      </c>
      <c r="D121" t="inlineStr">
        <is>
          <t>balanced</t>
        </is>
      </c>
      <c r="E121" t="n">
        <v>744</v>
      </c>
      <c r="F121" t="n">
        <v>186</v>
      </c>
      <c r="G121" t="n">
        <v>30</v>
      </c>
      <c r="H121" t="n">
        <v>2460</v>
      </c>
      <c r="I121" t="n">
        <v>157</v>
      </c>
      <c r="J121" t="n">
        <v>32</v>
      </c>
      <c r="K121" t="n">
        <v>0.93</v>
      </c>
      <c r="L121" t="n">
        <v>0.16</v>
      </c>
      <c r="M121" t="n">
        <v>0.48</v>
      </c>
      <c r="N121" t="n">
        <v>0.24</v>
      </c>
      <c r="O121" t="n">
        <v>0.86</v>
      </c>
      <c r="P121" s="2">
        <f>IFERROR((G121+H121)/(G121+H121+I121+J121),0)</f>
        <v/>
      </c>
      <c r="Q121" s="2">
        <f>IFERROR(G121/(G121+I121),0)</f>
        <v/>
      </c>
      <c r="R121" s="2">
        <f>IFERROR(G121/(G121+J121),0)</f>
        <v/>
      </c>
      <c r="S121" s="2">
        <f>IFERROR(2*Q121*R121/(Q121+R121),0)</f>
        <v/>
      </c>
      <c r="T121" s="2">
        <f>IFERROR(H121/(H121+I121),0)</f>
        <v/>
      </c>
      <c r="U121" s="2">
        <f>IFERROR((G121*H121-I121*J121)/SQRT((G121+I121)*(G121+J121)*(H121+I121)*(H121+J121)),0)</f>
        <v/>
      </c>
    </row>
    <row r="122">
      <c r="A122" t="n">
        <v>4</v>
      </c>
      <c r="B122" t="inlineStr">
        <is>
          <t>kNN</t>
        </is>
      </c>
      <c r="C122" t="inlineStr">
        <is>
          <t>train</t>
        </is>
      </c>
      <c r="D122" t="inlineStr">
        <is>
          <t>balanced</t>
        </is>
      </c>
      <c r="E122" t="n">
        <v>744</v>
      </c>
      <c r="F122" t="n">
        <v>186</v>
      </c>
      <c r="G122" t="n">
        <v>108</v>
      </c>
      <c r="H122" t="n">
        <v>523</v>
      </c>
      <c r="I122" t="n">
        <v>35</v>
      </c>
      <c r="J122" t="n">
        <v>78</v>
      </c>
      <c r="K122" t="n">
        <v>0.85</v>
      </c>
      <c r="L122" t="n">
        <v>0.76</v>
      </c>
      <c r="M122" t="n">
        <v>0.58</v>
      </c>
      <c r="N122" t="n">
        <v>0.66</v>
      </c>
      <c r="O122" t="n">
        <v>0.91</v>
      </c>
      <c r="P122" s="2">
        <f>IFERROR((G122+H122)/(G122+H122+I122+J122),0)</f>
        <v/>
      </c>
      <c r="Q122" s="2">
        <f>IFERROR(G122/(G122+I122),0)</f>
        <v/>
      </c>
      <c r="R122" s="2">
        <f>IFERROR(G122/(G122+J122),0)</f>
        <v/>
      </c>
      <c r="S122" s="2">
        <f>IFERROR(2*Q122*R122/(Q122+R122),0)</f>
        <v/>
      </c>
      <c r="T122" s="2">
        <f>IFERROR(H122/(H122+I122),0)</f>
        <v/>
      </c>
      <c r="U122" s="2">
        <f>IFERROR((G122*H122-I122*J122)/SQRT((G122+I122)*(G122+J122)*(H122+I122)*(H122+J122)),0)</f>
        <v/>
      </c>
    </row>
    <row r="123">
      <c r="A123" t="n">
        <v>4</v>
      </c>
      <c r="B123" t="inlineStr">
        <is>
          <t>kNN</t>
        </is>
      </c>
      <c r="C123" t="inlineStr">
        <is>
          <t>test</t>
        </is>
      </c>
      <c r="D123" t="inlineStr">
        <is>
          <t>balanced</t>
        </is>
      </c>
      <c r="E123" t="n">
        <v>744</v>
      </c>
      <c r="F123" t="n">
        <v>186</v>
      </c>
      <c r="G123" t="n">
        <v>32</v>
      </c>
      <c r="H123" t="n">
        <v>2354</v>
      </c>
      <c r="I123" t="n">
        <v>263</v>
      </c>
      <c r="J123" t="n">
        <v>30</v>
      </c>
      <c r="K123" t="n">
        <v>0.89</v>
      </c>
      <c r="L123" t="n">
        <v>0.11</v>
      </c>
      <c r="M123" t="n">
        <v>0.52</v>
      </c>
      <c r="N123" t="n">
        <v>0.18</v>
      </c>
      <c r="O123" t="n">
        <v>0.8100000000000001</v>
      </c>
      <c r="P123" s="2">
        <f>IFERROR((G123+H123)/(G123+H123+I123+J123),0)</f>
        <v/>
      </c>
      <c r="Q123" s="2">
        <f>IFERROR(G123/(G123+I123),0)</f>
        <v/>
      </c>
      <c r="R123" s="2">
        <f>IFERROR(G123/(G123+J123),0)</f>
        <v/>
      </c>
      <c r="S123" s="2">
        <f>IFERROR(2*Q123*R123/(Q123+R123),0)</f>
        <v/>
      </c>
      <c r="T123" s="2">
        <f>IFERROR(H123/(H123+I123),0)</f>
        <v/>
      </c>
      <c r="U123" s="2">
        <f>IFERROR((G123*H123-I123*J123)/SQRT((G123+I123)*(G123+J123)*(H123+I123)*(H123+J123)),0)</f>
        <v/>
      </c>
    </row>
    <row r="124">
      <c r="A124" t="n">
        <v>4</v>
      </c>
      <c r="B124" t="inlineStr">
        <is>
          <t>NaiveBayes</t>
        </is>
      </c>
      <c r="C124" t="inlineStr">
        <is>
          <t>train</t>
        </is>
      </c>
      <c r="D124" t="inlineStr">
        <is>
          <t>balanced</t>
        </is>
      </c>
      <c r="E124" t="n">
        <v>744</v>
      </c>
      <c r="F124" t="n">
        <v>186</v>
      </c>
      <c r="G124" t="n">
        <v>96</v>
      </c>
      <c r="H124" t="n">
        <v>486</v>
      </c>
      <c r="I124" t="n">
        <v>72</v>
      </c>
      <c r="J124" t="n">
        <v>90</v>
      </c>
      <c r="K124" t="n">
        <v>0.78</v>
      </c>
      <c r="L124" t="n">
        <v>0.57</v>
      </c>
      <c r="M124" t="n">
        <v>0.52</v>
      </c>
      <c r="N124" t="n">
        <v>0.54</v>
      </c>
      <c r="O124" t="n">
        <v>0.8100000000000001</v>
      </c>
      <c r="P124" s="2">
        <f>IFERROR((G124+H124)/(G124+H124+I124+J124),0)</f>
        <v/>
      </c>
      <c r="Q124" s="2">
        <f>IFERROR(G124/(G124+I124),0)</f>
        <v/>
      </c>
      <c r="R124" s="2">
        <f>IFERROR(G124/(G124+J124),0)</f>
        <v/>
      </c>
      <c r="S124" s="2">
        <f>IFERROR(2*Q124*R124/(Q124+R124),0)</f>
        <v/>
      </c>
      <c r="T124" s="2">
        <f>IFERROR(H124/(H124+I124),0)</f>
        <v/>
      </c>
      <c r="U124" s="2">
        <f>IFERROR((G124*H124-I124*J124)/SQRT((G124+I124)*(G124+J124)*(H124+I124)*(H124+J124)),0)</f>
        <v/>
      </c>
    </row>
    <row r="125">
      <c r="A125" t="n">
        <v>4</v>
      </c>
      <c r="B125" t="inlineStr">
        <is>
          <t>NaiveBayes</t>
        </is>
      </c>
      <c r="C125" t="inlineStr">
        <is>
          <t>test</t>
        </is>
      </c>
      <c r="D125" t="inlineStr">
        <is>
          <t>balanced</t>
        </is>
      </c>
      <c r="E125" t="n">
        <v>744</v>
      </c>
      <c r="F125" t="n">
        <v>186</v>
      </c>
      <c r="G125" t="n">
        <v>29</v>
      </c>
      <c r="H125" t="n">
        <v>2307</v>
      </c>
      <c r="I125" t="n">
        <v>310</v>
      </c>
      <c r="J125" t="n">
        <v>33</v>
      </c>
      <c r="K125" t="n">
        <v>0.87</v>
      </c>
      <c r="L125" t="n">
        <v>0.09</v>
      </c>
      <c r="M125" t="n">
        <v>0.47</v>
      </c>
      <c r="N125" t="n">
        <v>0.14</v>
      </c>
      <c r="O125" t="n">
        <v>0.84</v>
      </c>
      <c r="P125" s="2">
        <f>IFERROR((G125+H125)/(G125+H125+I125+J125),0)</f>
        <v/>
      </c>
      <c r="Q125" s="2">
        <f>IFERROR(G125/(G125+I125),0)</f>
        <v/>
      </c>
      <c r="R125" s="2">
        <f>IFERROR(G125/(G125+J125),0)</f>
        <v/>
      </c>
      <c r="S125" s="2">
        <f>IFERROR(2*Q125*R125/(Q125+R125),0)</f>
        <v/>
      </c>
      <c r="T125" s="2">
        <f>IFERROR(H125/(H125+I125),0)</f>
        <v/>
      </c>
      <c r="U125" s="2">
        <f>IFERROR((G125*H125-I125*J125)/SQRT((G125+I125)*(G125+J125)*(H125+I125)*(H125+J125)),0)</f>
        <v/>
      </c>
    </row>
    <row r="126">
      <c r="A126" t="n">
        <v>4</v>
      </c>
      <c r="B126" t="inlineStr">
        <is>
          <t>SVM</t>
        </is>
      </c>
      <c r="C126" t="inlineStr">
        <is>
          <t>train</t>
        </is>
      </c>
      <c r="D126" t="inlineStr">
        <is>
          <t>balanced</t>
        </is>
      </c>
      <c r="E126" t="n">
        <v>744</v>
      </c>
      <c r="F126" t="n">
        <v>186</v>
      </c>
      <c r="G126" t="n">
        <v>75</v>
      </c>
      <c r="H126" t="n">
        <v>542</v>
      </c>
      <c r="I126" t="n">
        <v>16</v>
      </c>
      <c r="J126" t="n">
        <v>111</v>
      </c>
      <c r="K126" t="n">
        <v>0.83</v>
      </c>
      <c r="L126" t="n">
        <v>0.82</v>
      </c>
      <c r="M126" t="n">
        <v>0.4</v>
      </c>
      <c r="N126" t="n">
        <v>0.54</v>
      </c>
      <c r="O126" t="n">
        <v>0.88</v>
      </c>
      <c r="P126" s="2">
        <f>IFERROR((G126+H126)/(G126+H126+I126+J126),0)</f>
        <v/>
      </c>
      <c r="Q126" s="2">
        <f>IFERROR(G126/(G126+I126),0)</f>
        <v/>
      </c>
      <c r="R126" s="2">
        <f>IFERROR(G126/(G126+J126),0)</f>
        <v/>
      </c>
      <c r="S126" s="2">
        <f>IFERROR(2*Q126*R126/(Q126+R126),0)</f>
        <v/>
      </c>
      <c r="T126" s="2">
        <f>IFERROR(H126/(H126+I126),0)</f>
        <v/>
      </c>
      <c r="U126" s="2">
        <f>IFERROR((G126*H126-I126*J126)/SQRT((G126+I126)*(G126+J126)*(H126+I126)*(H126+J126)),0)</f>
        <v/>
      </c>
    </row>
    <row r="127">
      <c r="A127" t="n">
        <v>4</v>
      </c>
      <c r="B127" t="inlineStr">
        <is>
          <t>SVM</t>
        </is>
      </c>
      <c r="C127" t="inlineStr">
        <is>
          <t>test</t>
        </is>
      </c>
      <c r="D127" t="inlineStr">
        <is>
          <t>balanced</t>
        </is>
      </c>
      <c r="E127" t="n">
        <v>744</v>
      </c>
      <c r="F127" t="n">
        <v>186</v>
      </c>
      <c r="G127" t="n">
        <v>19</v>
      </c>
      <c r="H127" t="n">
        <v>2499</v>
      </c>
      <c r="I127" t="n">
        <v>118</v>
      </c>
      <c r="J127" t="n">
        <v>43</v>
      </c>
      <c r="K127" t="n">
        <v>0.9399999999999999</v>
      </c>
      <c r="L127" t="n">
        <v>0.14</v>
      </c>
      <c r="M127" t="n">
        <v>0.31</v>
      </c>
      <c r="N127" t="n">
        <v>0.19</v>
      </c>
      <c r="O127" t="n">
        <v>0.86</v>
      </c>
      <c r="P127" s="2">
        <f>IFERROR((G127+H127)/(G127+H127+I127+J127),0)</f>
        <v/>
      </c>
      <c r="Q127" s="2">
        <f>IFERROR(G127/(G127+I127),0)</f>
        <v/>
      </c>
      <c r="R127" s="2">
        <f>IFERROR(G127/(G127+J127),0)</f>
        <v/>
      </c>
      <c r="S127" s="2">
        <f>IFERROR(2*Q127*R127/(Q127+R127),0)</f>
        <v/>
      </c>
      <c r="T127" s="2">
        <f>IFERROR(H127/(H127+I127),0)</f>
        <v/>
      </c>
      <c r="U127" s="2">
        <f>IFERROR((G127*H127-I127*J127)/SQRT((G127+I127)*(G127+J127)*(H127+I127)*(H127+J127)),0)</f>
        <v/>
      </c>
    </row>
    <row r="128">
      <c r="A128" t="n">
        <v>4</v>
      </c>
      <c r="B128" t="inlineStr">
        <is>
          <t>GradientBoosting</t>
        </is>
      </c>
      <c r="C128" t="inlineStr">
        <is>
          <t>train</t>
        </is>
      </c>
      <c r="D128" t="inlineStr">
        <is>
          <t>balanced</t>
        </is>
      </c>
      <c r="E128" t="n">
        <v>744</v>
      </c>
      <c r="F128" t="n">
        <v>186</v>
      </c>
      <c r="G128" t="n">
        <v>155</v>
      </c>
      <c r="H128" t="n">
        <v>552</v>
      </c>
      <c r="I128" t="n">
        <v>6</v>
      </c>
      <c r="J128" t="n">
        <v>31</v>
      </c>
      <c r="K128" t="n">
        <v>0.95</v>
      </c>
      <c r="L128" t="n">
        <v>0.96</v>
      </c>
      <c r="M128" t="n">
        <v>0.83</v>
      </c>
      <c r="N128" t="n">
        <v>0.89</v>
      </c>
      <c r="O128" t="n">
        <v>0.99</v>
      </c>
      <c r="P128" s="2">
        <f>IFERROR((G128+H128)/(G128+H128+I128+J128),0)</f>
        <v/>
      </c>
      <c r="Q128" s="2">
        <f>IFERROR(G128/(G128+I128),0)</f>
        <v/>
      </c>
      <c r="R128" s="2">
        <f>IFERROR(G128/(G128+J128),0)</f>
        <v/>
      </c>
      <c r="S128" s="2">
        <f>IFERROR(2*Q128*R128/(Q128+R128),0)</f>
        <v/>
      </c>
      <c r="T128" s="2">
        <f>IFERROR(H128/(H128+I128),0)</f>
        <v/>
      </c>
      <c r="U128" s="2">
        <f>IFERROR((G128*H128-I128*J128)/SQRT((G128+I128)*(G128+J128)*(H128+I128)*(H128+J128)),0)</f>
        <v/>
      </c>
    </row>
    <row r="129">
      <c r="A129" t="n">
        <v>4</v>
      </c>
      <c r="B129" t="inlineStr">
        <is>
          <t>GradientBoosting</t>
        </is>
      </c>
      <c r="C129" t="inlineStr">
        <is>
          <t>test</t>
        </is>
      </c>
      <c r="D129" t="inlineStr">
        <is>
          <t>balanced</t>
        </is>
      </c>
      <c r="E129" t="n">
        <v>744</v>
      </c>
      <c r="F129" t="n">
        <v>186</v>
      </c>
      <c r="G129" t="n">
        <v>32</v>
      </c>
      <c r="H129" t="n">
        <v>2415</v>
      </c>
      <c r="I129" t="n">
        <v>202</v>
      </c>
      <c r="J129" t="n">
        <v>30</v>
      </c>
      <c r="K129" t="n">
        <v>0.91</v>
      </c>
      <c r="L129" t="n">
        <v>0.14</v>
      </c>
      <c r="M129" t="n">
        <v>0.52</v>
      </c>
      <c r="N129" t="n">
        <v>0.22</v>
      </c>
      <c r="O129" t="n">
        <v>0.86</v>
      </c>
      <c r="P129" s="2">
        <f>IFERROR((G129+H129)/(G129+H129+I129+J129),0)</f>
        <v/>
      </c>
      <c r="Q129" s="2">
        <f>IFERROR(G129/(G129+I129),0)</f>
        <v/>
      </c>
      <c r="R129" s="2">
        <f>IFERROR(G129/(G129+J129),0)</f>
        <v/>
      </c>
      <c r="S129" s="2">
        <f>IFERROR(2*Q129*R129/(Q129+R129),0)</f>
        <v/>
      </c>
      <c r="T129" s="2">
        <f>IFERROR(H129/(H129+I129),0)</f>
        <v/>
      </c>
      <c r="U129" s="2">
        <f>IFERROR((G129*H129-I129*J129)/SQRT((G129+I129)*(G129+J129)*(H129+I129)*(H129+J129)),0)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3" t="inlineStr">
        <is>
          <t>Average TEST-set metrics per classifier and balancing regime (across all 4 folds)</t>
        </is>
      </c>
    </row>
    <row r="3">
      <c r="A3" s="4" t="inlineStr">
        <is>
          <t>Classifier</t>
        </is>
      </c>
      <c r="B3" s="4" t="inlineStr">
        <is>
          <t>Balance</t>
        </is>
      </c>
      <c r="C3" s="4" t="inlineStr">
        <is>
          <t>Avg_Accuracy</t>
        </is>
      </c>
      <c r="D3" s="4" t="inlineStr">
        <is>
          <t>Avg_Precision</t>
        </is>
      </c>
      <c r="E3" s="4" t="inlineStr">
        <is>
          <t>Avg_Recall</t>
        </is>
      </c>
      <c r="F3" s="4" t="inlineStr">
        <is>
          <t>Avg_F1</t>
        </is>
      </c>
      <c r="G3" s="4" t="inlineStr">
        <is>
          <t>Avg_ROC_AUC</t>
        </is>
      </c>
    </row>
    <row r="4">
      <c r="A4" t="inlineStr">
        <is>
          <t>DecisionTree</t>
        </is>
      </c>
      <c r="B4" t="inlineStr">
        <is>
          <t>unbalanced</t>
        </is>
      </c>
      <c r="C4" s="2">
        <f>AVERAGEIFS(Results!$K$2:$K$130, Results!$B$2:$B$130, $A4, Results!$D$2:$D$130, $B4, Results!$C$2:$C$130, "test")</f>
        <v/>
      </c>
      <c r="D4" s="2">
        <f>AVERAGEIFS(Results!$L$2:$L$130, Results!$B$2:$B$130, $A4, Results!$D$2:$D$130, $B4, Results!$C$2:$C$130, "test")</f>
        <v/>
      </c>
      <c r="E4" s="2">
        <f>AVERAGEIFS(Results!$M$2:$M$130, Results!$B$2:$B$130, $A4, Results!$D$2:$D$130, $B4, Results!$C$2:$C$130, "test")</f>
        <v/>
      </c>
      <c r="F4" s="2">
        <f>AVERAGEIFS(Results!$N$2:$N$130, Results!$B$2:$B$130, $A4, Results!$D$2:$D$130, $B4, Results!$C$2:$C$130, "test")</f>
        <v/>
      </c>
      <c r="G4" s="2">
        <f>AVERAGEIFS(Results!$O$2:$O$130, Results!$B$2:$B$130, $A4, Results!$D$2:$D$130, $B4, Results!$C$2:$C$130, "test")</f>
        <v/>
      </c>
    </row>
    <row r="5">
      <c r="A5" t="inlineStr">
        <is>
          <t>DecisionTree</t>
        </is>
      </c>
      <c r="B5" t="inlineStr">
        <is>
          <t>balanced</t>
        </is>
      </c>
      <c r="C5" s="2">
        <f>AVERAGEIFS(Results!$K$2:$K$130, Results!$B$2:$B$130, $A5, Results!$D$2:$D$130, $B5, Results!$C$2:$C$130, "test")</f>
        <v/>
      </c>
      <c r="D5" s="2">
        <f>AVERAGEIFS(Results!$L$2:$L$130, Results!$B$2:$B$130, $A5, Results!$D$2:$D$130, $B5, Results!$C$2:$C$130, "test")</f>
        <v/>
      </c>
      <c r="E5" s="2">
        <f>AVERAGEIFS(Results!$M$2:$M$130, Results!$B$2:$B$130, $A5, Results!$D$2:$D$130, $B5, Results!$C$2:$C$130, "test")</f>
        <v/>
      </c>
      <c r="F5" s="2">
        <f>AVERAGEIFS(Results!$N$2:$N$130, Results!$B$2:$B$130, $A5, Results!$D$2:$D$130, $B5, Results!$C$2:$C$130, "test")</f>
        <v/>
      </c>
      <c r="G5" s="2">
        <f>AVERAGEIFS(Results!$O$2:$O$130, Results!$B$2:$B$130, $A5, Results!$D$2:$D$130, $B5, Results!$C$2:$C$130, "test")</f>
        <v/>
      </c>
    </row>
    <row r="6">
      <c r="A6" t="inlineStr">
        <is>
          <t>GradientBoosting</t>
        </is>
      </c>
      <c r="B6" t="inlineStr">
        <is>
          <t>unbalanced</t>
        </is>
      </c>
      <c r="C6" s="2">
        <f>AVERAGEIFS(Results!$K$2:$K$130, Results!$B$2:$B$130, $A6, Results!$D$2:$D$130, $B6, Results!$C$2:$C$130, "test")</f>
        <v/>
      </c>
      <c r="D6" s="2">
        <f>AVERAGEIFS(Results!$L$2:$L$130, Results!$B$2:$B$130, $A6, Results!$D$2:$D$130, $B6, Results!$C$2:$C$130, "test")</f>
        <v/>
      </c>
      <c r="E6" s="2">
        <f>AVERAGEIFS(Results!$M$2:$M$130, Results!$B$2:$B$130, $A6, Results!$D$2:$D$130, $B6, Results!$C$2:$C$130, "test")</f>
        <v/>
      </c>
      <c r="F6" s="2">
        <f>AVERAGEIFS(Results!$N$2:$N$130, Results!$B$2:$B$130, $A6, Results!$D$2:$D$130, $B6, Results!$C$2:$C$130, "test")</f>
        <v/>
      </c>
      <c r="G6" s="2">
        <f>AVERAGEIFS(Results!$O$2:$O$130, Results!$B$2:$B$130, $A6, Results!$D$2:$D$130, $B6, Results!$C$2:$C$130, "test")</f>
        <v/>
      </c>
    </row>
    <row r="7">
      <c r="A7" t="inlineStr">
        <is>
          <t>GradientBoosting</t>
        </is>
      </c>
      <c r="B7" t="inlineStr">
        <is>
          <t>balanced</t>
        </is>
      </c>
      <c r="C7" s="2">
        <f>AVERAGEIFS(Results!$K$2:$K$130, Results!$B$2:$B$130, $A7, Results!$D$2:$D$130, $B7, Results!$C$2:$C$130, "test")</f>
        <v/>
      </c>
      <c r="D7" s="2">
        <f>AVERAGEIFS(Results!$L$2:$L$130, Results!$B$2:$B$130, $A7, Results!$D$2:$D$130, $B7, Results!$C$2:$C$130, "test")</f>
        <v/>
      </c>
      <c r="E7" s="2">
        <f>AVERAGEIFS(Results!$M$2:$M$130, Results!$B$2:$B$130, $A7, Results!$D$2:$D$130, $B7, Results!$C$2:$C$130, "test")</f>
        <v/>
      </c>
      <c r="F7" s="2">
        <f>AVERAGEIFS(Results!$N$2:$N$130, Results!$B$2:$B$130, $A7, Results!$D$2:$D$130, $B7, Results!$C$2:$C$130, "test")</f>
        <v/>
      </c>
      <c r="G7" s="2">
        <f>AVERAGEIFS(Results!$O$2:$O$130, Results!$B$2:$B$130, $A7, Results!$D$2:$D$130, $B7, Results!$C$2:$C$130, "test")</f>
        <v/>
      </c>
    </row>
    <row r="8">
      <c r="A8" t="inlineStr">
        <is>
          <t>LDA</t>
        </is>
      </c>
      <c r="B8" t="inlineStr">
        <is>
          <t>unbalanced</t>
        </is>
      </c>
      <c r="C8" s="2">
        <f>AVERAGEIFS(Results!$K$2:$K$130, Results!$B$2:$B$130, $A8, Results!$D$2:$D$130, $B8, Results!$C$2:$C$130, "test")</f>
        <v/>
      </c>
      <c r="D8" s="2">
        <f>AVERAGEIFS(Results!$L$2:$L$130, Results!$B$2:$B$130, $A8, Results!$D$2:$D$130, $B8, Results!$C$2:$C$130, "test")</f>
        <v/>
      </c>
      <c r="E8" s="2">
        <f>AVERAGEIFS(Results!$M$2:$M$130, Results!$B$2:$B$130, $A8, Results!$D$2:$D$130, $B8, Results!$C$2:$C$130, "test")</f>
        <v/>
      </c>
      <c r="F8" s="2">
        <f>AVERAGEIFS(Results!$N$2:$N$130, Results!$B$2:$B$130, $A8, Results!$D$2:$D$130, $B8, Results!$C$2:$C$130, "test")</f>
        <v/>
      </c>
      <c r="G8" s="2">
        <f>AVERAGEIFS(Results!$O$2:$O$130, Results!$B$2:$B$130, $A8, Results!$D$2:$D$130, $B8, Results!$C$2:$C$130, "test")</f>
        <v/>
      </c>
    </row>
    <row r="9">
      <c r="A9" t="inlineStr">
        <is>
          <t>LDA</t>
        </is>
      </c>
      <c r="B9" t="inlineStr">
        <is>
          <t>balanced</t>
        </is>
      </c>
      <c r="C9" s="2">
        <f>AVERAGEIFS(Results!$K$2:$K$130, Results!$B$2:$B$130, $A9, Results!$D$2:$D$130, $B9, Results!$C$2:$C$130, "test")</f>
        <v/>
      </c>
      <c r="D9" s="2">
        <f>AVERAGEIFS(Results!$L$2:$L$130, Results!$B$2:$B$130, $A9, Results!$D$2:$D$130, $B9, Results!$C$2:$C$130, "test")</f>
        <v/>
      </c>
      <c r="E9" s="2">
        <f>AVERAGEIFS(Results!$M$2:$M$130, Results!$B$2:$B$130, $A9, Results!$D$2:$D$130, $B9, Results!$C$2:$C$130, "test")</f>
        <v/>
      </c>
      <c r="F9" s="2">
        <f>AVERAGEIFS(Results!$N$2:$N$130, Results!$B$2:$B$130, $A9, Results!$D$2:$D$130, $B9, Results!$C$2:$C$130, "test")</f>
        <v/>
      </c>
      <c r="G9" s="2">
        <f>AVERAGEIFS(Results!$O$2:$O$130, Results!$B$2:$B$130, $A9, Results!$D$2:$D$130, $B9, Results!$C$2:$C$130, "test")</f>
        <v/>
      </c>
    </row>
    <row r="10">
      <c r="A10" t="inlineStr">
        <is>
          <t>LogisticRegression</t>
        </is>
      </c>
      <c r="B10" t="inlineStr">
        <is>
          <t>unbalanced</t>
        </is>
      </c>
      <c r="C10" s="2">
        <f>AVERAGEIFS(Results!$K$2:$K$130, Results!$B$2:$B$130, $A10, Results!$D$2:$D$130, $B10, Results!$C$2:$C$130, "test")</f>
        <v/>
      </c>
      <c r="D10" s="2">
        <f>AVERAGEIFS(Results!$L$2:$L$130, Results!$B$2:$B$130, $A10, Results!$D$2:$D$130, $B10, Results!$C$2:$C$130, "test")</f>
        <v/>
      </c>
      <c r="E10" s="2">
        <f>AVERAGEIFS(Results!$M$2:$M$130, Results!$B$2:$B$130, $A10, Results!$D$2:$D$130, $B10, Results!$C$2:$C$130, "test")</f>
        <v/>
      </c>
      <c r="F10" s="2">
        <f>AVERAGEIFS(Results!$N$2:$N$130, Results!$B$2:$B$130, $A10, Results!$D$2:$D$130, $B10, Results!$C$2:$C$130, "test")</f>
        <v/>
      </c>
      <c r="G10" s="2">
        <f>AVERAGEIFS(Results!$O$2:$O$130, Results!$B$2:$B$130, $A10, Results!$D$2:$D$130, $B10, Results!$C$2:$C$130, "test")</f>
        <v/>
      </c>
    </row>
    <row r="11">
      <c r="A11" t="inlineStr">
        <is>
          <t>LogisticRegression</t>
        </is>
      </c>
      <c r="B11" t="inlineStr">
        <is>
          <t>balanced</t>
        </is>
      </c>
      <c r="C11" s="2">
        <f>AVERAGEIFS(Results!$K$2:$K$130, Results!$B$2:$B$130, $A11, Results!$D$2:$D$130, $B11, Results!$C$2:$C$130, "test")</f>
        <v/>
      </c>
      <c r="D11" s="2">
        <f>AVERAGEIFS(Results!$L$2:$L$130, Results!$B$2:$B$130, $A11, Results!$D$2:$D$130, $B11, Results!$C$2:$C$130, "test")</f>
        <v/>
      </c>
      <c r="E11" s="2">
        <f>AVERAGEIFS(Results!$M$2:$M$130, Results!$B$2:$B$130, $A11, Results!$D$2:$D$130, $B11, Results!$C$2:$C$130, "test")</f>
        <v/>
      </c>
      <c r="F11" s="2">
        <f>AVERAGEIFS(Results!$N$2:$N$130, Results!$B$2:$B$130, $A11, Results!$D$2:$D$130, $B11, Results!$C$2:$C$130, "test")</f>
        <v/>
      </c>
      <c r="G11" s="2">
        <f>AVERAGEIFS(Results!$O$2:$O$130, Results!$B$2:$B$130, $A11, Results!$D$2:$D$130, $B11, Results!$C$2:$C$130, "test")</f>
        <v/>
      </c>
    </row>
    <row r="12">
      <c r="A12" t="inlineStr">
        <is>
          <t>NaiveBayes</t>
        </is>
      </c>
      <c r="B12" t="inlineStr">
        <is>
          <t>unbalanced</t>
        </is>
      </c>
      <c r="C12" s="2">
        <f>AVERAGEIFS(Results!$K$2:$K$130, Results!$B$2:$B$130, $A12, Results!$D$2:$D$130, $B12, Results!$C$2:$C$130, "test")</f>
        <v/>
      </c>
      <c r="D12" s="2">
        <f>AVERAGEIFS(Results!$L$2:$L$130, Results!$B$2:$B$130, $A12, Results!$D$2:$D$130, $B12, Results!$C$2:$C$130, "test")</f>
        <v/>
      </c>
      <c r="E12" s="2">
        <f>AVERAGEIFS(Results!$M$2:$M$130, Results!$B$2:$B$130, $A12, Results!$D$2:$D$130, $B12, Results!$C$2:$C$130, "test")</f>
        <v/>
      </c>
      <c r="F12" s="2">
        <f>AVERAGEIFS(Results!$N$2:$N$130, Results!$B$2:$B$130, $A12, Results!$D$2:$D$130, $B12, Results!$C$2:$C$130, "test")</f>
        <v/>
      </c>
      <c r="G12" s="2">
        <f>AVERAGEIFS(Results!$O$2:$O$130, Results!$B$2:$B$130, $A12, Results!$D$2:$D$130, $B12, Results!$C$2:$C$130, "test")</f>
        <v/>
      </c>
    </row>
    <row r="13">
      <c r="A13" t="inlineStr">
        <is>
          <t>NaiveBayes</t>
        </is>
      </c>
      <c r="B13" t="inlineStr">
        <is>
          <t>balanced</t>
        </is>
      </c>
      <c r="C13" s="2">
        <f>AVERAGEIFS(Results!$K$2:$K$130, Results!$B$2:$B$130, $A13, Results!$D$2:$D$130, $B13, Results!$C$2:$C$130, "test")</f>
        <v/>
      </c>
      <c r="D13" s="2">
        <f>AVERAGEIFS(Results!$L$2:$L$130, Results!$B$2:$B$130, $A13, Results!$D$2:$D$130, $B13, Results!$C$2:$C$130, "test")</f>
        <v/>
      </c>
      <c r="E13" s="2">
        <f>AVERAGEIFS(Results!$M$2:$M$130, Results!$B$2:$B$130, $A13, Results!$D$2:$D$130, $B13, Results!$C$2:$C$130, "test")</f>
        <v/>
      </c>
      <c r="F13" s="2">
        <f>AVERAGEIFS(Results!$N$2:$N$130, Results!$B$2:$B$130, $A13, Results!$D$2:$D$130, $B13, Results!$C$2:$C$130, "test")</f>
        <v/>
      </c>
      <c r="G13" s="2">
        <f>AVERAGEIFS(Results!$O$2:$O$130, Results!$B$2:$B$130, $A13, Results!$D$2:$D$130, $B13, Results!$C$2:$C$130, "test")</f>
        <v/>
      </c>
    </row>
    <row r="14">
      <c r="A14" t="inlineStr">
        <is>
          <t>RandomForest</t>
        </is>
      </c>
      <c r="B14" t="inlineStr">
        <is>
          <t>unbalanced</t>
        </is>
      </c>
      <c r="C14" s="2">
        <f>AVERAGEIFS(Results!$K$2:$K$130, Results!$B$2:$B$130, $A14, Results!$D$2:$D$130, $B14, Results!$C$2:$C$130, "test")</f>
        <v/>
      </c>
      <c r="D14" s="2">
        <f>AVERAGEIFS(Results!$L$2:$L$130, Results!$B$2:$B$130, $A14, Results!$D$2:$D$130, $B14, Results!$C$2:$C$130, "test")</f>
        <v/>
      </c>
      <c r="E14" s="2">
        <f>AVERAGEIFS(Results!$M$2:$M$130, Results!$B$2:$B$130, $A14, Results!$D$2:$D$130, $B14, Results!$C$2:$C$130, "test")</f>
        <v/>
      </c>
      <c r="F14" s="2">
        <f>AVERAGEIFS(Results!$N$2:$N$130, Results!$B$2:$B$130, $A14, Results!$D$2:$D$130, $B14, Results!$C$2:$C$130, "test")</f>
        <v/>
      </c>
      <c r="G14" s="2">
        <f>AVERAGEIFS(Results!$O$2:$O$130, Results!$B$2:$B$130, $A14, Results!$D$2:$D$130, $B14, Results!$C$2:$C$130, "test")</f>
        <v/>
      </c>
    </row>
    <row r="15">
      <c r="A15" t="inlineStr">
        <is>
          <t>RandomForest</t>
        </is>
      </c>
      <c r="B15" t="inlineStr">
        <is>
          <t>balanced</t>
        </is>
      </c>
      <c r="C15" s="2">
        <f>AVERAGEIFS(Results!$K$2:$K$130, Results!$B$2:$B$130, $A15, Results!$D$2:$D$130, $B15, Results!$C$2:$C$130, "test")</f>
        <v/>
      </c>
      <c r="D15" s="2">
        <f>AVERAGEIFS(Results!$L$2:$L$130, Results!$B$2:$B$130, $A15, Results!$D$2:$D$130, $B15, Results!$C$2:$C$130, "test")</f>
        <v/>
      </c>
      <c r="E15" s="2">
        <f>AVERAGEIFS(Results!$M$2:$M$130, Results!$B$2:$B$130, $A15, Results!$D$2:$D$130, $B15, Results!$C$2:$C$130, "test")</f>
        <v/>
      </c>
      <c r="F15" s="2">
        <f>AVERAGEIFS(Results!$N$2:$N$130, Results!$B$2:$B$130, $A15, Results!$D$2:$D$130, $B15, Results!$C$2:$C$130, "test")</f>
        <v/>
      </c>
      <c r="G15" s="2">
        <f>AVERAGEIFS(Results!$O$2:$O$130, Results!$B$2:$B$130, $A15, Results!$D$2:$D$130, $B15, Results!$C$2:$C$130, "test")</f>
        <v/>
      </c>
    </row>
    <row r="16">
      <c r="A16" t="inlineStr">
        <is>
          <t>SVM</t>
        </is>
      </c>
      <c r="B16" t="inlineStr">
        <is>
          <t>unbalanced</t>
        </is>
      </c>
      <c r="C16" s="2">
        <f>AVERAGEIFS(Results!$K$2:$K$130, Results!$B$2:$B$130, $A16, Results!$D$2:$D$130, $B16, Results!$C$2:$C$130, "test")</f>
        <v/>
      </c>
      <c r="D16" s="2">
        <f>AVERAGEIFS(Results!$L$2:$L$130, Results!$B$2:$B$130, $A16, Results!$D$2:$D$130, $B16, Results!$C$2:$C$130, "test")</f>
        <v/>
      </c>
      <c r="E16" s="2">
        <f>AVERAGEIFS(Results!$M$2:$M$130, Results!$B$2:$B$130, $A16, Results!$D$2:$D$130, $B16, Results!$C$2:$C$130, "test")</f>
        <v/>
      </c>
      <c r="F16" s="2">
        <f>AVERAGEIFS(Results!$N$2:$N$130, Results!$B$2:$B$130, $A16, Results!$D$2:$D$130, $B16, Results!$C$2:$C$130, "test")</f>
        <v/>
      </c>
      <c r="G16" s="2">
        <f>AVERAGEIFS(Results!$O$2:$O$130, Results!$B$2:$B$130, $A16, Results!$D$2:$D$130, $B16, Results!$C$2:$C$130, "test")</f>
        <v/>
      </c>
    </row>
    <row r="17">
      <c r="A17" t="inlineStr">
        <is>
          <t>SVM</t>
        </is>
      </c>
      <c r="B17" t="inlineStr">
        <is>
          <t>balanced</t>
        </is>
      </c>
      <c r="C17" s="2">
        <f>AVERAGEIFS(Results!$K$2:$K$130, Results!$B$2:$B$130, $A17, Results!$D$2:$D$130, $B17, Results!$C$2:$C$130, "test")</f>
        <v/>
      </c>
      <c r="D17" s="2">
        <f>AVERAGEIFS(Results!$L$2:$L$130, Results!$B$2:$B$130, $A17, Results!$D$2:$D$130, $B17, Results!$C$2:$C$130, "test")</f>
        <v/>
      </c>
      <c r="E17" s="2">
        <f>AVERAGEIFS(Results!$M$2:$M$130, Results!$B$2:$B$130, $A17, Results!$D$2:$D$130, $B17, Results!$C$2:$C$130, "test")</f>
        <v/>
      </c>
      <c r="F17" s="2">
        <f>AVERAGEIFS(Results!$N$2:$N$130, Results!$B$2:$B$130, $A17, Results!$D$2:$D$130, $B17, Results!$C$2:$C$130, "test")</f>
        <v/>
      </c>
      <c r="G17" s="2">
        <f>AVERAGEIFS(Results!$O$2:$O$130, Results!$B$2:$B$130, $A17, Results!$D$2:$D$130, $B17, Results!$C$2:$C$130, "test")</f>
        <v/>
      </c>
    </row>
    <row r="18">
      <c r="A18" t="inlineStr">
        <is>
          <t>kNN</t>
        </is>
      </c>
      <c r="B18" t="inlineStr">
        <is>
          <t>unbalanced</t>
        </is>
      </c>
      <c r="C18" s="2">
        <f>AVERAGEIFS(Results!$K$2:$K$130, Results!$B$2:$B$130, $A18, Results!$D$2:$D$130, $B18, Results!$C$2:$C$130, "test")</f>
        <v/>
      </c>
      <c r="D18" s="2">
        <f>AVERAGEIFS(Results!$L$2:$L$130, Results!$B$2:$B$130, $A18, Results!$D$2:$D$130, $B18, Results!$C$2:$C$130, "test")</f>
        <v/>
      </c>
      <c r="E18" s="2">
        <f>AVERAGEIFS(Results!$M$2:$M$130, Results!$B$2:$B$130, $A18, Results!$D$2:$D$130, $B18, Results!$C$2:$C$130, "test")</f>
        <v/>
      </c>
      <c r="F18" s="2">
        <f>AVERAGEIFS(Results!$N$2:$N$130, Results!$B$2:$B$130, $A18, Results!$D$2:$D$130, $B18, Results!$C$2:$C$130, "test")</f>
        <v/>
      </c>
      <c r="G18" s="2">
        <f>AVERAGEIFS(Results!$O$2:$O$130, Results!$B$2:$B$130, $A18, Results!$D$2:$D$130, $B18, Results!$C$2:$C$130, "test")</f>
        <v/>
      </c>
    </row>
    <row r="19">
      <c r="A19" t="inlineStr">
        <is>
          <t>kNN</t>
        </is>
      </c>
      <c r="B19" t="inlineStr">
        <is>
          <t>balanced</t>
        </is>
      </c>
      <c r="C19" s="2">
        <f>AVERAGEIFS(Results!$K$2:$K$130, Results!$B$2:$B$130, $A19, Results!$D$2:$D$130, $B19, Results!$C$2:$C$130, "test")</f>
        <v/>
      </c>
      <c r="D19" s="2">
        <f>AVERAGEIFS(Results!$L$2:$L$130, Results!$B$2:$B$130, $A19, Results!$D$2:$D$130, $B19, Results!$C$2:$C$130, "test")</f>
        <v/>
      </c>
      <c r="E19" s="2">
        <f>AVERAGEIFS(Results!$M$2:$M$130, Results!$B$2:$B$130, $A19, Results!$D$2:$D$130, $B19, Results!$C$2:$C$130, "test")</f>
        <v/>
      </c>
      <c r="F19" s="2">
        <f>AVERAGEIFS(Results!$N$2:$N$130, Results!$B$2:$B$130, $A19, Results!$D$2:$D$130, $B19, Results!$C$2:$C$130, "test")</f>
        <v/>
      </c>
      <c r="G19" s="2">
        <f>AVERAGEIFS(Results!$O$2:$O$130, Results!$B$2:$B$130, $A19, Results!$D$2:$D$130, $B19, Results!$C$2:$C$130, "test")</f>
        <v/>
      </c>
    </row>
    <row r="50">
      <c r="A50" t="inlineStr">
        <is>
          <t>Classifier</t>
        </is>
      </c>
      <c r="B50" t="inlineStr">
        <is>
          <t>unbalanced_F1</t>
        </is>
      </c>
      <c r="C50" t="inlineStr">
        <is>
          <t>balanced_F1</t>
        </is>
      </c>
    </row>
    <row r="51">
      <c r="A51" t="inlineStr">
        <is>
          <t>DecisionTree</t>
        </is>
      </c>
      <c r="B51" s="2">
        <f>AVERAGEIFS(Results!$N$2:$N$130, Results!$B$2:$B$130, $A51, Results!$D$2:$D$130, "unbalanced", Results!$C$2:$C$130, "test")</f>
        <v/>
      </c>
      <c r="C51" s="2">
        <f>AVERAGEIFS(Results!$N$2:$N$130, Results!$B$2:$B$130, $A51, Results!$D$2:$D$130, "balanced", Results!$C$2:$C$130, "test")</f>
        <v/>
      </c>
    </row>
    <row r="52">
      <c r="A52" t="inlineStr">
        <is>
          <t>GradientBoosting</t>
        </is>
      </c>
      <c r="B52" s="2">
        <f>AVERAGEIFS(Results!$N$2:$N$130, Results!$B$2:$B$130, $A52, Results!$D$2:$D$130, "unbalanced", Results!$C$2:$C$130, "test")</f>
        <v/>
      </c>
      <c r="C52" s="2">
        <f>AVERAGEIFS(Results!$N$2:$N$130, Results!$B$2:$B$130, $A52, Results!$D$2:$D$130, "balanced", Results!$C$2:$C$130, "test")</f>
        <v/>
      </c>
    </row>
    <row r="53">
      <c r="A53" t="inlineStr">
        <is>
          <t>LDA</t>
        </is>
      </c>
      <c r="B53" s="2">
        <f>AVERAGEIFS(Results!$N$2:$N$130, Results!$B$2:$B$130, $A53, Results!$D$2:$D$130, "unbalanced", Results!$C$2:$C$130, "test")</f>
        <v/>
      </c>
      <c r="C53" s="2">
        <f>AVERAGEIFS(Results!$N$2:$N$130, Results!$B$2:$B$130, $A53, Results!$D$2:$D$130, "balanced", Results!$C$2:$C$130, "test")</f>
        <v/>
      </c>
    </row>
    <row r="54">
      <c r="A54" t="inlineStr">
        <is>
          <t>LogisticRegression</t>
        </is>
      </c>
      <c r="B54" s="2">
        <f>AVERAGEIFS(Results!$N$2:$N$130, Results!$B$2:$B$130, $A54, Results!$D$2:$D$130, "unbalanced", Results!$C$2:$C$130, "test")</f>
        <v/>
      </c>
      <c r="C54" s="2">
        <f>AVERAGEIFS(Results!$N$2:$N$130, Results!$B$2:$B$130, $A54, Results!$D$2:$D$130, "balanced", Results!$C$2:$C$130, "test")</f>
        <v/>
      </c>
    </row>
    <row r="55">
      <c r="A55" t="inlineStr">
        <is>
          <t>NaiveBayes</t>
        </is>
      </c>
      <c r="B55" s="2">
        <f>AVERAGEIFS(Results!$N$2:$N$130, Results!$B$2:$B$130, $A55, Results!$D$2:$D$130, "unbalanced", Results!$C$2:$C$130, "test")</f>
        <v/>
      </c>
      <c r="C55" s="2">
        <f>AVERAGEIFS(Results!$N$2:$N$130, Results!$B$2:$B$130, $A55, Results!$D$2:$D$130, "balanced", Results!$C$2:$C$130, "test")</f>
        <v/>
      </c>
    </row>
    <row r="56">
      <c r="A56" t="inlineStr">
        <is>
          <t>RandomForest</t>
        </is>
      </c>
      <c r="B56" s="2">
        <f>AVERAGEIFS(Results!$N$2:$N$130, Results!$B$2:$B$130, $A56, Results!$D$2:$D$130, "unbalanced", Results!$C$2:$C$130, "test")</f>
        <v/>
      </c>
      <c r="C56" s="2">
        <f>AVERAGEIFS(Results!$N$2:$N$130, Results!$B$2:$B$130, $A56, Results!$D$2:$D$130, "balanced", Results!$C$2:$C$130, "test")</f>
        <v/>
      </c>
    </row>
    <row r="57">
      <c r="A57" t="inlineStr">
        <is>
          <t>SVM</t>
        </is>
      </c>
      <c r="B57" s="2">
        <f>AVERAGEIFS(Results!$N$2:$N$130, Results!$B$2:$B$130, $A57, Results!$D$2:$D$130, "unbalanced", Results!$C$2:$C$130, "test")</f>
        <v/>
      </c>
      <c r="C57" s="2">
        <f>AVERAGEIFS(Results!$N$2:$N$130, Results!$B$2:$B$130, $A57, Results!$D$2:$D$130, "balanced", Results!$C$2:$C$130, "test")</f>
        <v/>
      </c>
    </row>
    <row r="58">
      <c r="A58" t="inlineStr">
        <is>
          <t>kNN</t>
        </is>
      </c>
      <c r="B58" s="2">
        <f>AVERAGEIFS(Results!$N$2:$N$130, Results!$B$2:$B$130, $A58, Results!$D$2:$D$130, "unbalanced", Results!$C$2:$C$130, "test")</f>
        <v/>
      </c>
      <c r="C58" s="2">
        <f>AVERAGEIFS(Results!$N$2:$N$130, Results!$B$2:$B$130, $A58, Results!$D$2:$D$130, "balanced", Results!$C$2:$C$130, "test")</f>
        <v/>
      </c>
    </row>
  </sheetData>
  <conditionalFormatting sqref="F4:F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2026-09-01T17:56:11Z</dcterms:created>
  <dcterms:modified xmlns:dcterms="http://purl.org/dc/terms/" xmlns:xsi="http://www.w3.org/2001/XMLSchema-instance" xsi:type="dcterms:W3CDTF">2026-09-01T17:56:11Z</dcterms:modified>
</cp:coreProperties>
</file>